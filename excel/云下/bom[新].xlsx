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成本" sheetId="1" r:id="rId3"/>
  </sheets>
  <definedNames>
    <definedName name="_xlnm._FilterDatabase">成本!$A$1:$F$369</definedName>
  </definedNames>
  <calcPr calcId="191029" concurrentCalc="0"/>
</workbook>
</file>

<file path=xl/sharedStrings.xml><?xml version="1.0" encoding="utf-8"?>
<sst xmlns="http://schemas.openxmlformats.org/spreadsheetml/2006/main" count="201" uniqueCount="201">
  <si>
    <t/>
  </si>
  <si>
    <t>序号</t>
  </si>
  <si>
    <t>菜名</t>
  </si>
  <si>
    <t>配料名称</t>
  </si>
  <si>
    <t>采购规格（g）</t>
  </si>
  <si>
    <t>毛料</t>
  </si>
  <si>
    <t>物料编码</t>
  </si>
  <si>
    <t>油焖鸡</t>
  </si>
  <si>
    <t>油焖鸡醬</t>
  </si>
  <si>
    <t>分切鸡腿肉</t>
  </si>
  <si>
    <t>土豆</t>
  </si>
  <si>
    <t>去皮花生米</t>
  </si>
  <si>
    <t>汇福大豆油</t>
  </si>
  <si>
    <t>香米饵块</t>
  </si>
  <si>
    <t>蚝油</t>
  </si>
  <si>
    <t>盐</t>
  </si>
  <si>
    <t>云南草果</t>
  </si>
  <si>
    <t>鲜姜</t>
  </si>
  <si>
    <t>味精</t>
  </si>
  <si>
    <t>料酒</t>
  </si>
  <si>
    <t>香菜</t>
  </si>
  <si>
    <t>舂鸡脚</t>
  </si>
  <si>
    <t>无骨鸡爪</t>
  </si>
  <si>
    <t>大蒜(去皮蒜)</t>
  </si>
  <si>
    <t>小米辣</t>
  </si>
  <si>
    <t>胡萝卜</t>
  </si>
  <si>
    <t>圣女果</t>
  </si>
  <si>
    <t>香水柠檬</t>
  </si>
  <si>
    <t>青木瓜</t>
  </si>
  <si>
    <t>水妈妈柠檬汁</t>
  </si>
  <si>
    <t>鱼露</t>
  </si>
  <si>
    <t>舂牛干巴</t>
  </si>
  <si>
    <t>火烧牛干巴</t>
  </si>
  <si>
    <t>白芹</t>
  </si>
  <si>
    <t>大芫荽</t>
  </si>
  <si>
    <t>香柳</t>
  </si>
  <si>
    <t>薄荷（本地）</t>
  </si>
  <si>
    <t>嬢嬢炸洋芋</t>
  </si>
  <si>
    <t>锅巴土豆</t>
  </si>
  <si>
    <t>小葱</t>
  </si>
  <si>
    <t>炸洋芋料</t>
  </si>
  <si>
    <t>天立老醋</t>
  </si>
  <si>
    <t>海天生抽</t>
  </si>
  <si>
    <t>辣鲜露</t>
  </si>
  <si>
    <t>青花椒油</t>
  </si>
  <si>
    <t>炸包浆豆腐</t>
  </si>
  <si>
    <t>包浆豆腐</t>
  </si>
  <si>
    <t>香茅草烤鸡</t>
  </si>
  <si>
    <t>去骨鸡腿</t>
  </si>
  <si>
    <t>鸡汁</t>
  </si>
  <si>
    <t>芭蕉叶</t>
  </si>
  <si>
    <t>烧烤料</t>
  </si>
  <si>
    <t>冷冻百香果</t>
  </si>
  <si>
    <t>贵州糊辣椒</t>
  </si>
  <si>
    <t>香茅草</t>
  </si>
  <si>
    <t>自制高汤</t>
  </si>
  <si>
    <t>鸡架</t>
  </si>
  <si>
    <t>水</t>
  </si>
  <si>
    <t>铜锅锅米线</t>
  </si>
  <si>
    <t>黄豆腐</t>
  </si>
  <si>
    <t>滇碗香米线（1.4）</t>
  </si>
  <si>
    <t>自熬高汤</t>
  </si>
  <si>
    <t>花椒酱</t>
  </si>
  <si>
    <t>韭菜</t>
  </si>
  <si>
    <t>猪肉沫</t>
  </si>
  <si>
    <t>豆瓣酱</t>
  </si>
  <si>
    <t>海天老抽</t>
  </si>
  <si>
    <t>白砂糖</t>
  </si>
  <si>
    <t>胡椒粉</t>
  </si>
  <si>
    <t>弥渡酸腌菜</t>
  </si>
  <si>
    <t>懒豆花米线</t>
  </si>
  <si>
    <t>干米线（粗）</t>
  </si>
  <si>
    <t>北风菌</t>
  </si>
  <si>
    <t>内酯豆腐</t>
  </si>
  <si>
    <t>甜酱油</t>
  </si>
  <si>
    <t>酸木瓜芒果茉莉水</t>
  </si>
  <si>
    <t>酸木瓜水</t>
  </si>
  <si>
    <t>鲜萃茉莉茶饮</t>
  </si>
  <si>
    <t>芒果酱</t>
  </si>
  <si>
    <t>云下1号</t>
  </si>
  <si>
    <t>72度葡萄烈酒</t>
  </si>
  <si>
    <t>印象水晶葡萄</t>
  </si>
  <si>
    <t>泰像汽水</t>
  </si>
  <si>
    <t>1瓶</t>
  </si>
  <si>
    <t>冰块</t>
  </si>
  <si>
    <t>冰芒生椰米布</t>
  </si>
  <si>
    <t>米布粉</t>
  </si>
  <si>
    <t>椰乳</t>
  </si>
  <si>
    <t>蝶泉牛奶（袋）</t>
  </si>
  <si>
    <t>炼乳</t>
  </si>
  <si>
    <t>干玫瑰</t>
  </si>
  <si>
    <t>冷冻芒果</t>
  </si>
  <si>
    <t>云下泡鲁达</t>
  </si>
  <si>
    <t>西米罐头</t>
  </si>
  <si>
    <t>冰粉籽</t>
  </si>
  <si>
    <t>干面包</t>
  </si>
  <si>
    <t>红豆罐头</t>
  </si>
  <si>
    <t>老奶洋芋米线</t>
  </si>
  <si>
    <t>西红柿</t>
  </si>
  <si>
    <t>紫洋葱</t>
  </si>
  <si>
    <t>黑胡椒粉</t>
  </si>
  <si>
    <t>迷迭香</t>
  </si>
  <si>
    <t>番茄沙司</t>
  </si>
  <si>
    <t>厨邦酱油</t>
  </si>
  <si>
    <t>青椒</t>
  </si>
  <si>
    <t>丘北椒爆炒牛肝菌</t>
  </si>
  <si>
    <t>牛肝菌</t>
  </si>
  <si>
    <t>独头蒜</t>
  </si>
  <si>
    <t>丘北干辣椒</t>
  </si>
  <si>
    <t>蘑菇精</t>
  </si>
  <si>
    <t>二荆条</t>
  </si>
  <si>
    <t>猪油</t>
  </si>
  <si>
    <t>皱皮椒</t>
  </si>
  <si>
    <t>高汤</t>
  </si>
  <si>
    <t>洋芋焖饭</t>
  </si>
  <si>
    <t>青豆</t>
  </si>
  <si>
    <t>东古一品鲜酱油</t>
  </si>
  <si>
    <t>十月稻田香米</t>
  </si>
  <si>
    <t>见手青腊肉焖饭</t>
  </si>
  <si>
    <t>见手青</t>
  </si>
  <si>
    <t>腊肉</t>
  </si>
  <si>
    <t>清烫小苦菜</t>
  </si>
  <si>
    <t>芥菜</t>
  </si>
  <si>
    <t>舂炸蛋</t>
  </si>
  <si>
    <t>鸡蛋</t>
  </si>
  <si>
    <t>2个</t>
  </si>
  <si>
    <t>乳瓜</t>
  </si>
  <si>
    <t>冷冻菠萝</t>
  </si>
  <si>
    <t>美人椒</t>
  </si>
  <si>
    <t>糖蒜</t>
  </si>
  <si>
    <t>清炒小青菜</t>
  </si>
  <si>
    <t>小青菜（菜心）</t>
  </si>
  <si>
    <t>昭通酸木瓜鸡肉洋芋饺</t>
  </si>
  <si>
    <t>鸡肉</t>
  </si>
  <si>
    <t>酸木瓜</t>
  </si>
  <si>
    <t>面粉</t>
  </si>
  <si>
    <t>木姜子酸木瓜土鸡米线</t>
  </si>
  <si>
    <t>幺麻子木姜子油</t>
  </si>
  <si>
    <t>大葱</t>
  </si>
  <si>
    <t>酸木瓜酸汤</t>
  </si>
  <si>
    <t>黑松露腊肉菌子焖饭</t>
  </si>
  <si>
    <t>黑松露酱</t>
  </si>
  <si>
    <t>酸木瓜鸡肉碎</t>
  </si>
  <si>
    <t>酸木瓜鸡肉薄饼</t>
  </si>
  <si>
    <t>长方形薄饼</t>
  </si>
  <si>
    <t>6片</t>
  </si>
  <si>
    <t>马苏碎</t>
  </si>
  <si>
    <t>白汁粉</t>
  </si>
  <si>
    <t>淡奶油</t>
  </si>
  <si>
    <t>黑松露牛肝菌罗蒂薄饼</t>
  </si>
  <si>
    <t>菠菜</t>
  </si>
  <si>
    <t>米布百香果美式</t>
  </si>
  <si>
    <t>咖啡</t>
  </si>
  <si>
    <t>米布芒果美式</t>
  </si>
  <si>
    <t>糯香普洱茶</t>
  </si>
  <si>
    <t>风味烤鱼</t>
  </si>
  <si>
    <t>罗非鱼</t>
  </si>
  <si>
    <t>400-500</t>
  </si>
  <si>
    <t>黄柠檬</t>
  </si>
  <si>
    <t>蒜油辣椒酱</t>
  </si>
  <si>
    <t>香菜籽粉</t>
  </si>
  <si>
    <t>茴香籽粉</t>
  </si>
  <si>
    <t>香茅草粉</t>
  </si>
  <si>
    <t>丘北干辣椒(细面）</t>
  </si>
  <si>
    <t>凉拌松毛尖</t>
  </si>
  <si>
    <t>松毛尖</t>
  </si>
  <si>
    <t>苦菊</t>
  </si>
  <si>
    <t>白醋</t>
  </si>
  <si>
    <t>青花椒</t>
  </si>
  <si>
    <t>富源酸萝卜牛肉锅</t>
  </si>
  <si>
    <t>牛腩</t>
  </si>
  <si>
    <t>酸萝卜</t>
  </si>
  <si>
    <t>水腌菜</t>
  </si>
  <si>
    <t>香叶</t>
  </si>
  <si>
    <t>花椒</t>
  </si>
  <si>
    <t>百香果酸木瓜汁</t>
  </si>
  <si>
    <t>果糖糖浆</t>
  </si>
  <si>
    <t>富源酸萝卜牛肉锅  免辣</t>
  </si>
  <si>
    <t>牛肉汤</t>
  </si>
  <si>
    <t>清炒姜柄瓜</t>
  </si>
  <si>
    <t>姜柄瓜</t>
  </si>
  <si>
    <t>薄荷排骨</t>
  </si>
  <si>
    <t>猪排骨</t>
  </si>
  <si>
    <t>八角</t>
  </si>
  <si>
    <t>弥勒水晶葡萄 X 云南风味泡酒</t>
  </si>
  <si>
    <t>泡酒</t>
  </si>
  <si>
    <t>弥勒玫瑰蜜葡萄汁 X 云南风味泡酒</t>
  </si>
  <si>
    <t>印象玫瑰蜜葡萄</t>
  </si>
  <si>
    <t>青桔百香果 X 云南风味泡酒</t>
  </si>
  <si>
    <t>青柠巴斯克切片蛋糕</t>
  </si>
  <si>
    <t>黑松露牛肝菌洋芋饺/6个</t>
  </si>
  <si>
    <t>生猪肉沫</t>
  </si>
  <si>
    <t>瓶</t>
  </si>
  <si>
    <t>物料单位</t>
  </si>
  <si>
    <t>g</t>
  </si>
  <si>
    <t>菜品名称</t>
  </si>
  <si>
    <t>物料名称</t>
  </si>
  <si>
    <t>毛料数量</t>
  </si>
  <si>
    <t>ml</t>
  </si>
  <si>
    <t>片</t>
  </si>
  <si>
    <t>块</t>
  </si>
</sst>
</file>

<file path=xl/styles.xml><?xml version="1.0" encoding="utf-8"?>
<styleSheet xmlns="http://schemas.openxmlformats.org/spreadsheetml/2006/main">
  <numFmts count="7">
    <numFmt numFmtId="300" formatCode="0.00_ "/>
    <numFmt numFmtId="301" formatCode="General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  <numFmt numFmtId="306" formatCode="_-* #,##0.00_-;\-* #,##0.00_-;_-* &quot;-&quot;??_-;_-@_-"/>
  </numFmts>
  <fonts count="34">
    <font>
      <name val="宋体"/>
      <charset val="134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微软雅黑"/>
      <charset val="134"/>
      <color rgb="FF000000"/>
      <sz val="10"/>
    </font>
    <font>
      <name val="微软雅黑"/>
      <charset val="134"/>
      <i val="1"/>
      <color theme="1"/>
      <sz val="10"/>
    </font>
    <font>
      <name val="微软雅黑"/>
      <charset val="134"/>
      <sz val="10"/>
    </font>
    <font>
      <name val="Calibri"/>
      <charset val="134"/>
      <color rgb="FF000000"/>
      <sz val="11"/>
    </font>
    <font>
      <name val="微软雅黑"/>
      <color theme="1"/>
      <sz val="10"/>
    </font>
    <font>
      <name val="微软雅黑"/>
      <sz val="10"/>
    </font>
    <font>
      <name val="微软雅黑"/>
      <sz val="10"/>
    </font>
    <font>
      <name val="微软雅黑"/>
      <sz val="10"/>
    </font>
    <font>
      <name val="宋体"/>
      <charset val="134"/>
      <color theme="1"/>
      <sz val="12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/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>
    <xf numFmtId="301" fontId="13" fillId="0" borderId="12" xfId="0"/>
    <xf numFmtId="301" fontId="14" fillId="4" borderId="12" xfId="0" applyNumberFormat="0" applyBorder="0" applyAlignment="0" applyProtection="0">
      <alignment vertical="center"/>
    </xf>
    <xf numFmtId="301" fontId="14" fillId="5" borderId="12" xfId="0" applyNumberFormat="0" applyBorder="0" applyAlignment="0" applyProtection="0">
      <alignment vertical="center"/>
    </xf>
    <xf numFmtId="301" fontId="15" fillId="6" borderId="12" xfId="0" applyNumberFormat="0" applyBorder="0" applyAlignment="0" applyProtection="0">
      <alignment vertical="center"/>
    </xf>
    <xf numFmtId="301" fontId="14" fillId="7" borderId="12" xfId="0" applyNumberFormat="0" applyBorder="0" applyAlignment="0" applyProtection="0">
      <alignment vertical="center"/>
    </xf>
    <xf numFmtId="301" fontId="14" fillId="8" borderId="12" xfId="0" applyNumberFormat="0" applyBorder="0" applyAlignment="0" applyProtection="0">
      <alignment vertical="center"/>
    </xf>
    <xf numFmtId="301" fontId="15" fillId="9" borderId="12" xfId="0" applyNumberFormat="0" applyBorder="0" applyAlignment="0" applyProtection="0">
      <alignment vertical="center"/>
    </xf>
    <xf numFmtId="301" fontId="15" fillId="10" borderId="12" xfId="0" applyNumberFormat="0" applyBorder="0" applyAlignment="0" applyProtection="0">
      <alignment vertical="center"/>
    </xf>
    <xf numFmtId="301" fontId="14" fillId="11" borderId="12" xfId="0" applyNumberFormat="0" applyBorder="0" applyAlignment="0" applyProtection="0">
      <alignment vertical="center"/>
    </xf>
    <xf numFmtId="301" fontId="14" fillId="12" borderId="12" xfId="0" applyNumberFormat="0" applyBorder="0" applyAlignment="0" applyProtection="0">
      <alignment vertical="center"/>
    </xf>
    <xf numFmtId="301" fontId="15" fillId="13" borderId="12" xfId="0" applyNumberFormat="0" applyBorder="0" applyAlignment="0" applyProtection="0">
      <alignment vertical="center"/>
    </xf>
    <xf numFmtId="301" fontId="16" fillId="14" borderId="12" xfId="0" applyNumberFormat="0" applyBorder="0" applyAlignment="0" applyProtection="0">
      <alignment vertical="center"/>
    </xf>
    <xf numFmtId="301" fontId="17" fillId="15" borderId="12" xfId="0" applyNumberFormat="0" applyBorder="0" applyAlignment="0" applyProtection="0">
      <alignment vertical="center"/>
    </xf>
    <xf numFmtId="301" fontId="18" fillId="16" borderId="12" xfId="0" applyNumberFormat="0" applyBorder="0" applyAlignment="0" applyProtection="0">
      <alignment vertical="center"/>
    </xf>
    <xf numFmtId="301" fontId="19" fillId="2" borderId="13" xfId="0" applyNumberFormat="0" applyFill="0" applyAlignment="0" applyProtection="0">
      <alignment vertical="center"/>
    </xf>
    <xf numFmtId="301" fontId="15" fillId="17" borderId="12" xfId="0" applyNumberFormat="0" applyBorder="0" applyAlignment="0" applyProtection="0">
      <alignment vertical="center"/>
    </xf>
    <xf numFmtId="302" fontId="20" fillId="2" borderId="12" xfId="0" applyFont="0" applyFill="0" applyBorder="0" applyAlignment="0" applyProtection="0">
      <alignment vertical="center"/>
    </xf>
    <xf numFmtId="301" fontId="14" fillId="18" borderId="12" xfId="0" applyNumberFormat="0" applyBorder="0" applyAlignment="0" applyProtection="0">
      <alignment vertical="center"/>
    </xf>
    <xf numFmtId="303" fontId="13" fillId="2" borderId="12" xfId="0" applyFont="0" applyFill="0" applyBorder="0" applyAlignment="0" applyProtection="0"/>
    <xf numFmtId="301" fontId="14" fillId="19" borderId="12" xfId="0" applyNumberFormat="0" applyBorder="0" applyAlignment="0" applyProtection="0">
      <alignment vertical="center"/>
    </xf>
    <xf numFmtId="304" fontId="20" fillId="2" borderId="12" xfId="0" applyFont="0" applyFill="0" applyBorder="0" applyAlignment="0" applyProtection="0">
      <alignment vertical="center"/>
    </xf>
    <xf numFmtId="301" fontId="15" fillId="20" borderId="12" xfId="0" applyNumberFormat="0" applyBorder="0" applyAlignment="0" applyProtection="0">
      <alignment vertical="center"/>
    </xf>
    <xf numFmtId="305" fontId="20" fillId="2" borderId="12" xfId="0" applyFont="0" applyFill="0" applyBorder="0" applyAlignment="0" applyProtection="0">
      <alignment vertical="center"/>
    </xf>
    <xf numFmtId="301" fontId="15" fillId="21" borderId="12" xfId="0" applyNumberFormat="0" applyBorder="0" applyAlignment="0" applyProtection="0">
      <alignment vertical="center"/>
    </xf>
    <xf numFmtId="301" fontId="21" fillId="2" borderId="12" xfId="0" applyNumberFormat="0" applyFill="0" applyBorder="0" applyAlignment="0" applyProtection="0">
      <alignment vertical="center"/>
    </xf>
    <xf numFmtId="301" fontId="14" fillId="22" borderId="12" xfId="0" applyNumberFormat="0" applyBorder="0" applyAlignment="0" applyProtection="0">
      <alignment vertical="center"/>
    </xf>
    <xf numFmtId="301" fontId="22" fillId="2" borderId="12" xfId="0" applyNumberFormat="0" applyFill="0" applyBorder="0" applyAlignment="0" applyProtection="0">
      <alignment vertical="center"/>
    </xf>
    <xf numFmtId="301" fontId="14" fillId="23" borderId="12" xfId="0" applyNumberFormat="0" applyBorder="0" applyAlignment="0" applyProtection="0">
      <alignment vertical="center"/>
    </xf>
    <xf numFmtId="301" fontId="20" fillId="24" borderId="14" xfId="0" applyNumberFormat="0" applyFont="0" applyAlignment="0" applyProtection="0">
      <alignment vertical="center"/>
    </xf>
    <xf numFmtId="301" fontId="23" fillId="2" borderId="15" xfId="0" applyNumberFormat="0" applyFill="0" applyAlignment="0" applyProtection="0">
      <alignment vertical="center"/>
    </xf>
    <xf numFmtId="301" fontId="15" fillId="25" borderId="12" xfId="0" applyNumberFormat="0" applyBorder="0" applyAlignment="0" applyProtection="0">
      <alignment vertical="center"/>
    </xf>
    <xf numFmtId="301" fontId="24" fillId="2" borderId="12" xfId="0" applyNumberFormat="0" applyFill="0" applyBorder="0" applyAlignment="0" applyProtection="0">
      <alignment vertical="center"/>
    </xf>
    <xf numFmtId="301" fontId="15" fillId="26" borderId="12" xfId="0" applyNumberFormat="0" applyBorder="0" applyAlignment="0" applyProtection="0">
      <alignment vertical="center"/>
    </xf>
    <xf numFmtId="306" fontId="13" fillId="2" borderId="12" xfId="0" applyFont="0" applyFill="0" applyBorder="0" applyAlignment="0" applyProtection="0"/>
    <xf numFmtId="301" fontId="8" fillId="2" borderId="12" xfId="0"/>
    <xf numFmtId="301" fontId="14" fillId="27" borderId="12" xfId="0" applyNumberFormat="0" applyBorder="0" applyAlignment="0" applyProtection="0">
      <alignment vertical="center"/>
    </xf>
    <xf numFmtId="301" fontId="25" fillId="2" borderId="16" xfId="0" applyNumberFormat="0" applyFill="0" applyAlignment="0" applyProtection="0">
      <alignment vertical="center"/>
    </xf>
    <xf numFmtId="301" fontId="26" fillId="2" borderId="12" xfId="0" applyNumberFormat="0" applyFill="0" applyBorder="0" applyAlignment="0" applyProtection="0">
      <alignment vertical="center"/>
    </xf>
    <xf numFmtId="301" fontId="14" fillId="28" borderId="12" xfId="0" applyNumberFormat="0" applyBorder="0" applyAlignment="0" applyProtection="0">
      <alignment vertical="center"/>
    </xf>
    <xf numFmtId="301" fontId="15" fillId="29" borderId="12" xfId="0" applyNumberFormat="0" applyBorder="0" applyAlignment="0" applyProtection="0">
      <alignment vertical="center"/>
    </xf>
    <xf numFmtId="301" fontId="15" fillId="30" borderId="12" xfId="0" applyNumberFormat="0" applyBorder="0" applyAlignment="0" applyProtection="0">
      <alignment vertical="center"/>
    </xf>
    <xf numFmtId="301" fontId="27" fillId="2" borderId="12" xfId="0" applyNumberFormat="0" applyFill="0" applyBorder="0" applyAlignment="0" applyProtection="0">
      <alignment vertical="center"/>
    </xf>
    <xf numFmtId="301" fontId="23" fillId="2" borderId="12" xfId="0" applyNumberFormat="0" applyFill="0" applyBorder="0" applyAlignment="0" applyProtection="0">
      <alignment vertical="center"/>
    </xf>
    <xf numFmtId="301" fontId="28" fillId="2" borderId="16" xfId="0" applyNumberFormat="0" applyFill="0" applyAlignment="0" applyProtection="0">
      <alignment vertical="center"/>
    </xf>
    <xf numFmtId="301" fontId="15" fillId="31" borderId="12" xfId="0" applyNumberFormat="0" applyBorder="0" applyAlignment="0" applyProtection="0">
      <alignment vertical="center"/>
    </xf>
    <xf numFmtId="301" fontId="29" fillId="32" borderId="17" xfId="0" applyNumberFormat="0" applyAlignment="0" applyProtection="0">
      <alignment vertical="center"/>
    </xf>
    <xf numFmtId="301" fontId="30" fillId="33" borderId="18" xfId="0" applyNumberFormat="0" applyAlignment="0" applyProtection="0">
      <alignment vertical="center"/>
    </xf>
    <xf numFmtId="301" fontId="31" fillId="33" borderId="17" xfId="0" applyNumberFormat="0" applyAlignment="0" applyProtection="0">
      <alignment vertical="center"/>
    </xf>
    <xf numFmtId="301" fontId="32" fillId="34" borderId="19" xfId="0" applyNumberFormat="0" applyAlignment="0" applyProtection="0">
      <alignment vertical="center"/>
    </xf>
    <xf numFmtId="301" fontId="33" fillId="2" borderId="20" xfId="0" applyNumberFormat="0" applyFill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" xfId="0" applyFont="1" applyBorder="1" applyAlignment="1">
      <alignment vertical="center"/>
    </xf>
    <xf numFmtId="301" fontId="3" fillId="0" borderId="1" xfId="0" applyFont="1" applyBorder="1" applyAlignment="1">
      <alignment horizontal="center" vertical="center" wrapText="1"/>
    </xf>
    <xf numFmtId="301" fontId="3" fillId="0" borderId="1" xfId="0" applyFont="1" applyBorder="1" applyAlignment="1">
      <alignment horizontal="center" vertical="center"/>
    </xf>
    <xf numFmtId="300" fontId="3" fillId="0" borderId="1" xfId="0" applyNumberFormat="1" applyFont="1" applyBorder="1" applyAlignment="1">
      <alignment horizontal="center" vertical="center" wrapText="1"/>
    </xf>
    <xf numFmtId="301" fontId="4" fillId="0" borderId="12" xfId="0" applyFont="1" applyAlignment="1">
      <alignment horizontal="center" vertical="center"/>
    </xf>
    <xf numFmtId="301" fontId="4" fillId="0" borderId="1" xfId="0" applyFont="1" applyBorder="1" applyAlignment="1">
      <alignment horizontal="center" vertical="center"/>
    </xf>
    <xf numFmtId="301" fontId="4" fillId="0" borderId="2" xfId="0" applyFont="1" applyBorder="1" applyAlignment="1">
      <alignment horizontal="center" vertical="center" wrapText="1"/>
    </xf>
    <xf numFmtId="300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 wrapText="1"/>
    </xf>
    <xf numFmtId="301" fontId="4" fillId="0" borderId="3" xfId="0" applyFont="1" applyBorder="1" applyAlignment="1">
      <alignment horizontal="center" vertical="center" wrapText="1"/>
    </xf>
    <xf numFmtId="301" fontId="4" fillId="0" borderId="4" xfId="0" applyFont="1" applyBorder="1" applyAlignment="1">
      <alignment horizontal="center" vertical="center" wrapText="1"/>
    </xf>
    <xf numFmtId="301" fontId="4" fillId="0" borderId="5" xfId="0" applyFont="1" applyBorder="1" applyAlignment="1">
      <alignment horizontal="center" vertical="center" wrapText="1"/>
    </xf>
    <xf numFmtId="301" fontId="6" fillId="0" borderId="1" xfId="0" applyFont="1" applyBorder="1" applyAlignment="1">
      <alignment horizontal="center" vertical="center"/>
    </xf>
    <xf numFmtId="301" fontId="4" fillId="0" borderId="3" xfId="0" applyFont="1" applyBorder="1" applyAlignment="1">
      <alignment horizontal="center" vertical="center"/>
    </xf>
    <xf numFmtId="301" fontId="4" fillId="0" borderId="1" xfId="0" applyFont="1" applyBorder="1" applyAlignment="1">
      <alignment horizontal="center"/>
    </xf>
    <xf numFmtId="301" fontId="4" fillId="0" borderId="4" xfId="0" applyFont="1" applyBorder="1" applyAlignment="1">
      <alignment horizontal="center" vertical="center"/>
    </xf>
    <xf numFmtId="301" fontId="4" fillId="0" borderId="5" xfId="0" applyFont="1" applyBorder="1" applyAlignment="1">
      <alignment horizontal="center" vertical="center"/>
    </xf>
    <xf numFmtId="301" fontId="4" fillId="0" borderId="2" xfId="0" applyFont="1" applyBorder="1" applyAlignment="1">
      <alignment horizontal="center" vertical="center"/>
    </xf>
    <xf numFmtId="301" fontId="4" fillId="0" borderId="2" xfId="0" applyFont="1" applyBorder="1" applyAlignment="1">
      <alignment horizontal="center"/>
    </xf>
    <xf numFmtId="301" fontId="7" fillId="0" borderId="1" xfId="0" applyFont="1" applyBorder="1" applyAlignment="1">
      <alignment horizontal="center" vertical="center" wrapText="1"/>
    </xf>
    <xf numFmtId="301" fontId="8" fillId="0" borderId="12" xfId="0" applyFont="1" applyAlignment="1">
      <alignment horizontal="left"/>
    </xf>
    <xf numFmtId="301" fontId="4" fillId="0" borderId="6" xfId="0" applyFont="1" applyBorder="1" applyAlignment="1">
      <alignment horizontal="center" vertical="center"/>
    </xf>
    <xf numFmtId="301" fontId="4" fillId="0" borderId="7" xfId="0" applyFont="1" applyBorder="1" applyAlignment="1">
      <alignment horizontal="center" vertical="center"/>
    </xf>
    <xf numFmtId="301" fontId="4" fillId="0" borderId="8" xfId="0" applyFont="1" applyBorder="1" applyAlignment="1">
      <alignment horizontal="center" vertical="center"/>
    </xf>
    <xf numFmtId="301" fontId="13" fillId="0" borderId="12" xfId="0"/>
    <xf numFmtId="301" fontId="9" fillId="0" borderId="12" xfId="0" applyFont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10" fillId="2" borderId="9" xfId="0" applyNumberFormat="1" applyFont="1" applyFill="1" applyBorder="1"/>
    <xf numFmtId="301" fontId="9" fillId="0" borderId="10" xfId="0" applyFont="1" applyBorder="1" applyAlignment="1">
      <alignment horizontal="center" vertical="center"/>
    </xf>
    <xf numFmtId="301" fontId="9" fillId="0" borderId="11" xfId="0" applyFont="1" applyBorder="1" applyAlignment="1">
      <alignment horizontal="center"/>
    </xf>
    <xf numFmtId="0" fontId="10" fillId="2" borderId="9" xfId="0" applyNumberFormat="1" applyFont="1" applyFill="1" applyBorder="1" applyAlignment="1">
      <alignment horizontal="center" vertical="center"/>
    </xf>
    <xf numFmtId="0" fontId="11" fillId="2" borderId="9" xfId="0" applyNumberFormat="1" applyFont="1" applyFill="1" applyBorder="1" applyAlignment="1">
      <alignment horizontal="center" vertical="center"/>
    </xf>
    <xf numFmtId="0" fontId="12" fillId="3" borderId="12" xfId="0" applyNumberFormat="1" applyFont="1" applyFill="1" applyAlignment="1">
      <alignment horizontal="center" vertical="center"/>
    </xf>
    <xf numFmtId="0" fontId="11" fillId="2" borderId="12" xfId="0" applyNumberFormat="1" applyFont="1" applyFill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9" fillId="0" borderId="12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11" fillId="2" borderId="0" xfId="0">
      <alignment horizontal="center" vertical="center"/>
    </xf>
    <xf numFmtId="301" fontId="4" fillId="2" borderId="12" xfId="0" applyNumberFormat="1" applyFont="1" applyFill="1" applyBorder="1" applyAlignment="1">
      <alignment horizontal="center" vertical="center"/>
    </xf>
    <xf numFmtId="301" fontId="4" fillId="2" borderId="12" xfId="0" applyNumberFormat="1" applyFont="1" applyFill="1" applyBorder="1" applyAlignment="1">
      <alignment vertical="center"/>
    </xf>
    <xf numFmtId="301" fontId="4" fillId="2" borderId="12" xfId="0" applyNumberFormat="1" applyFont="1" applyFill="1" applyBorder="1" applyAlignment="1">
      <alignment horizontal="center"/>
    </xf>
    <xf numFmtId="301" fontId="9" fillId="2" borderId="9" xfId="0" applyNumberFormat="1" applyFont="1" applyFill="1" applyBorder="1"/>
    <xf numFmtId="301" fontId="4" fillId="2" borderId="12" xfId="0" applyNumberFormat="1" applyFont="1" applyFill="1" applyBorder="1"/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汇总" xfId="14" builtinId="25"/>
    <cellStyle name="强调文字颜色 4" xfId="15" builtinId="41"/>
    <cellStyle name="货币" xfId="16" builtinId="4"/>
    <cellStyle name="20% - 强调文字颜色 4" xfId="17" builtinId="42"/>
    <cellStyle name="百分比" xfId="18" builtinId="5"/>
    <cellStyle name="40% - 强调文字颜色 4" xfId="19" builtinId="43"/>
    <cellStyle name="千位分隔[0]" xfId="20" builtinId="6"/>
    <cellStyle name="60% - 强调文字颜色 4" xfId="21" builtinId="44"/>
    <cellStyle name="货币[0]" xfId="22" builtinId="7"/>
    <cellStyle name="强调文字颜色 5" xfId="23" builtinId="45"/>
    <cellStyle name="超链接" xfId="24" builtinId="8"/>
    <cellStyle name="20% - 强调文字颜色 5" xfId="25" builtinId="46"/>
    <cellStyle name="已访问的超链接" xfId="26" builtinId="9"/>
    <cellStyle name="40% - 强调文字颜色 5" xfId="27" builtinId="47"/>
    <cellStyle name="注释" xfId="28" builtinId="10"/>
    <cellStyle name="标题 3" xfId="29" builtinId="18"/>
    <cellStyle name="60% - 强调文字颜色 6" xfId="30" builtinId="52"/>
    <cellStyle name="标题" xfId="31" builtinId="15"/>
    <cellStyle name="60% - 强调文字颜色 3" xfId="32" builtinId="40"/>
    <cellStyle name="千位分隔" xfId="33" builtinId="3"/>
    <cellStyle name="常规 2" xfId="34"/>
    <cellStyle name="40% - 强调文字颜色 6" xfId="35" builtinId="51"/>
    <cellStyle name="标题 1" xfId="36" builtinId="16"/>
    <cellStyle name="解释性文本" xfId="37" builtinId="53"/>
    <cellStyle name="20% - 强调文字颜色 6" xfId="38" builtinId="50"/>
    <cellStyle name="强调文字颜色 6" xfId="39" builtinId="49"/>
    <cellStyle name="60% - 强调文字颜色 5" xfId="40" builtinId="48"/>
    <cellStyle name="警告文本" xfId="41" builtinId="11"/>
    <cellStyle name="标题 4" xfId="42" builtinId="19"/>
    <cellStyle name="标题 2" xfId="43" builtinId="17"/>
    <cellStyle name="强调文字颜色 3" xfId="44" builtinId="37"/>
    <cellStyle name="输入" xfId="45" builtinId="20"/>
    <cellStyle name="输出" xfId="46" builtinId="21"/>
    <cellStyle name="计算" xfId="47" builtinId="22"/>
    <cellStyle name="检查单元格" xfId="48" builtinId="23"/>
    <cellStyle name="链接单元格" xfId="49" builtinId="24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369"/>
  <sheetViews>
    <sheetView showGridLines="1" tabSelected="0" topLeftCell="A151" workbookViewId="0">
      <pane xSplit="1" topLeftCell="B1" activePane="topRight" state="frozen"/>
    </sheetView>
  </sheetViews>
  <sheetFormatPr defaultColWidth="8.83333" defaultRowHeight="13.85" outlineLevelCol="5"/>
  <cols>
    <col min="1" max="1" width="8.83333" style="47"/>
    <col min="2" max="2" width="32.3333" style="48" customWidth="1"/>
    <col min="3" max="3" width="19.1667" style="48" customWidth="1"/>
    <col min="4" max="4" width="11.6667" style="48" customWidth="1"/>
    <col min="5" max="5" width="9.16667" style="48" customWidth="1"/>
    <col min="6" max="6" width="15.5" style="49" customWidth="1"/>
    <col min="7" max="26" width="8.83333" style="50"/>
  </cols>
  <sheetData>
    <row r="1" spans="1:7" s="46" customFormat="1" ht="14.65">
      <c r="A1" s="4" t="s">
        <v>1</v>
      </c>
      <c r="B1" s="43" t="s">
        <v>195</v>
      </c>
      <c r="C1" s="44" t="s">
        <v>196</v>
      </c>
      <c r="D1" s="6" t="s">
        <v>4</v>
      </c>
      <c r="E1" s="7" t="s">
        <v>197</v>
      </c>
      <c r="F1" s="31" t="s">
        <v>6</v>
      </c>
      <c r="G1" s="36" t="s">
        <v>193</v>
      </c>
    </row>
    <row r="2" spans="1:7" s="46" customFormat="1">
      <c r="A2" s="9">
        <f>=COUNT(A$1:A1)+1</f>
        <v>1</v>
      </c>
      <c r="B2" s="10" t="s">
        <v>7</v>
      </c>
      <c r="C2" s="9" t="s">
        <v>8</v>
      </c>
      <c r="D2" s="9">
        <v>1000</v>
      </c>
      <c r="E2" s="8">
        <v>122</v>
      </c>
      <c r="F2" s="31">
        <v>1009023</v>
      </c>
      <c r="G2" s="36" t="s">
        <v>194</v>
      </c>
    </row>
    <row r="3" spans="1:7" s="46" customFormat="1">
      <c r="A3" s="9" t="s"/>
      <c r="B3" s="10" t="s"/>
      <c r="C3" s="9" t="s">
        <v>9</v>
      </c>
      <c r="D3" s="9">
        <v>500</v>
      </c>
      <c r="E3" s="11">
        <v>331</v>
      </c>
      <c r="F3" s="31">
        <v>1003014</v>
      </c>
      <c r="G3" s="36" t="s">
        <v>194</v>
      </c>
    </row>
    <row r="4" spans="1:7" s="46" customFormat="1">
      <c r="A4" s="9" t="s"/>
      <c r="B4" s="10" t="s"/>
      <c r="C4" s="9" t="s">
        <v>10</v>
      </c>
      <c r="D4" s="9">
        <v>500</v>
      </c>
      <c r="E4" s="11">
        <v>535</v>
      </c>
      <c r="F4" s="31">
        <v>1001072</v>
      </c>
      <c r="G4" s="37" t="s">
        <v>194</v>
      </c>
    </row>
    <row r="5" spans="1:7" s="46" customFormat="1">
      <c r="A5" s="9" t="s"/>
      <c r="B5" s="10" t="s"/>
      <c r="C5" s="12" t="s">
        <v>11</v>
      </c>
      <c r="D5" s="9">
        <v>500</v>
      </c>
      <c r="E5" s="11">
        <v>2.2</v>
      </c>
      <c r="F5" s="31">
        <v>1001025</v>
      </c>
      <c r="G5" s="37" t="s">
        <v>194</v>
      </c>
    </row>
    <row r="6" spans="1:7" s="46" customFormat="1">
      <c r="A6" s="9" t="s"/>
      <c r="B6" s="10" t="s"/>
      <c r="C6" s="12" t="s">
        <v>12</v>
      </c>
      <c r="D6" s="9">
        <v>10000</v>
      </c>
      <c r="E6" s="11">
        <v>150</v>
      </c>
      <c r="F6" s="31">
        <v>1005004</v>
      </c>
      <c r="G6" s="37" t="s">
        <v>194</v>
      </c>
    </row>
    <row r="7" spans="1:7" s="46" customFormat="1">
      <c r="A7" s="9" t="s"/>
      <c r="B7" s="10" t="s"/>
      <c r="C7" s="12" t="s">
        <v>13</v>
      </c>
      <c r="D7" s="9">
        <v>500</v>
      </c>
      <c r="E7" s="11">
        <v>40</v>
      </c>
      <c r="F7" s="31">
        <v>1005011</v>
      </c>
      <c r="G7" s="37" t="s">
        <v>194</v>
      </c>
    </row>
    <row r="8" spans="1:7" s="46" customFormat="1">
      <c r="A8" s="9" t="s"/>
      <c r="B8" s="10" t="s"/>
      <c r="C8" s="12" t="s">
        <v>14</v>
      </c>
      <c r="D8" s="9">
        <v>6000</v>
      </c>
      <c r="E8" s="11">
        <v>10</v>
      </c>
      <c r="F8" s="31">
        <v>1006030</v>
      </c>
      <c r="G8" s="37" t="s">
        <v>194</v>
      </c>
    </row>
    <row r="9" spans="1:7" s="46" customFormat="1">
      <c r="A9" s="9" t="s"/>
      <c r="B9" s="10" t="s"/>
      <c r="C9" s="12" t="s">
        <v>15</v>
      </c>
      <c r="D9" s="9">
        <v>400</v>
      </c>
      <c r="E9" s="11">
        <v>2</v>
      </c>
      <c r="F9" s="31">
        <v>1006022</v>
      </c>
      <c r="G9" s="37" t="s">
        <v>194</v>
      </c>
    </row>
    <row r="10" spans="1:7" s="46" customFormat="1">
      <c r="A10" s="9" t="s"/>
      <c r="B10" s="10" t="s"/>
      <c r="C10" s="12" t="s">
        <v>16</v>
      </c>
      <c r="D10" s="9">
        <v>500</v>
      </c>
      <c r="E10" s="11">
        <v>2.5</v>
      </c>
      <c r="F10" s="31">
        <v>1006009</v>
      </c>
      <c r="G10" s="37" t="s">
        <v>194</v>
      </c>
    </row>
    <row r="11" spans="1:7" s="46" customFormat="1">
      <c r="A11" s="9" t="s"/>
      <c r="B11" s="10" t="s"/>
      <c r="C11" s="12" t="s">
        <v>17</v>
      </c>
      <c r="D11" s="9">
        <v>500</v>
      </c>
      <c r="E11" s="11">
        <v>2</v>
      </c>
      <c r="F11" s="31">
        <v>1001002</v>
      </c>
      <c r="G11" s="37" t="s">
        <v>194</v>
      </c>
    </row>
    <row r="12" spans="1:7" s="46" customFormat="1">
      <c r="A12" s="9" t="s"/>
      <c r="B12" s="10" t="s"/>
      <c r="C12" s="12" t="s">
        <v>18</v>
      </c>
      <c r="D12" s="9">
        <v>2000</v>
      </c>
      <c r="E12" s="11">
        <v>0.5</v>
      </c>
      <c r="F12" s="31">
        <v>1006033</v>
      </c>
      <c r="G12" s="37" t="s">
        <v>194</v>
      </c>
    </row>
    <row r="13" spans="1:7" s="46" customFormat="1">
      <c r="A13" s="9" t="s"/>
      <c r="B13" s="10" t="s"/>
      <c r="C13" s="12" t="s">
        <v>19</v>
      </c>
      <c r="D13" s="9">
        <v>500</v>
      </c>
      <c r="E13" s="11">
        <v>1.6</v>
      </c>
      <c r="F13" s="31">
        <v>1006027</v>
      </c>
      <c r="G13" s="37" t="s">
        <v>194</v>
      </c>
    </row>
    <row r="14" spans="1:7" s="46" customFormat="1">
      <c r="A14" s="9" t="s"/>
      <c r="B14" s="10" t="s"/>
      <c r="C14" s="13" t="s">
        <v>20</v>
      </c>
      <c r="D14" s="9">
        <v>500</v>
      </c>
      <c r="E14" s="11">
        <v>1.2</v>
      </c>
      <c r="F14" s="31">
        <v>1001075</v>
      </c>
      <c r="G14" s="37" t="s">
        <v>194</v>
      </c>
    </row>
    <row r="15" spans="1:7" s="46" customFormat="1" ht="13.9">
      <c r="A15" s="9">
        <v>2</v>
      </c>
      <c r="B15" s="10" t="s">
        <v>21</v>
      </c>
      <c r="C15" s="14" t="s">
        <v>22</v>
      </c>
      <c r="D15" s="9">
        <v>2500</v>
      </c>
      <c r="E15" s="11">
        <v>80</v>
      </c>
      <c r="F15" s="31">
        <v>1009014</v>
      </c>
      <c r="G15" s="37" t="s">
        <v>194</v>
      </c>
    </row>
    <row r="16" spans="1:7" s="46" customFormat="1" ht="13.9">
      <c r="A16" s="9" t="s"/>
      <c r="B16" s="10" t="s"/>
      <c r="C16" s="14" t="s">
        <v>23</v>
      </c>
      <c r="D16" s="9">
        <v>500</v>
      </c>
      <c r="E16" s="11">
        <v>4</v>
      </c>
      <c r="F16" s="31">
        <v>1001005</v>
      </c>
      <c r="G16" s="37" t="s">
        <v>194</v>
      </c>
    </row>
    <row r="17" spans="1:7" s="46" customFormat="1">
      <c r="A17" s="9" t="s"/>
      <c r="B17" s="10" t="s"/>
      <c r="C17" s="12" t="s">
        <v>17</v>
      </c>
      <c r="D17" s="9">
        <v>500</v>
      </c>
      <c r="E17" s="11">
        <v>10</v>
      </c>
      <c r="F17" s="31">
        <v>1001002</v>
      </c>
      <c r="G17" s="37" t="s">
        <v>194</v>
      </c>
    </row>
    <row r="18" spans="1:7" s="46" customFormat="1">
      <c r="A18" s="9" t="s"/>
      <c r="B18" s="10" t="s"/>
      <c r="C18" s="13" t="s">
        <v>24</v>
      </c>
      <c r="D18" s="9">
        <v>500</v>
      </c>
      <c r="E18" s="11">
        <v>3</v>
      </c>
      <c r="F18" s="31">
        <v>1001055</v>
      </c>
      <c r="G18" s="37" t="s">
        <v>194</v>
      </c>
    </row>
    <row r="19" spans="1:7" s="46" customFormat="1">
      <c r="A19" s="9" t="s"/>
      <c r="B19" s="10" t="s"/>
      <c r="C19" s="13" t="s">
        <v>25</v>
      </c>
      <c r="D19" s="9">
        <v>500</v>
      </c>
      <c r="E19" s="11">
        <v>20</v>
      </c>
      <c r="F19" s="31">
        <v>1001016</v>
      </c>
      <c r="G19" s="37" t="s">
        <v>194</v>
      </c>
    </row>
    <row r="20" spans="1:7" s="46" customFormat="1">
      <c r="A20" s="9" t="s"/>
      <c r="B20" s="10" t="s"/>
      <c r="C20" s="13" t="s">
        <v>26</v>
      </c>
      <c r="D20" s="9">
        <v>500</v>
      </c>
      <c r="E20" s="11">
        <v>26</v>
      </c>
      <c r="F20" s="31">
        <v>1001048</v>
      </c>
      <c r="G20" s="37" t="s">
        <v>194</v>
      </c>
    </row>
    <row r="21" spans="1:7" s="46" customFormat="1">
      <c r="A21" s="9" t="s"/>
      <c r="B21" s="10" t="s"/>
      <c r="C21" s="13" t="s">
        <v>27</v>
      </c>
      <c r="D21" s="9">
        <v>500</v>
      </c>
      <c r="E21" s="11">
        <v>25</v>
      </c>
      <c r="F21" s="31">
        <v>1001053</v>
      </c>
      <c r="G21" s="37" t="s">
        <v>194</v>
      </c>
    </row>
    <row r="22" spans="1:7" s="46" customFormat="1">
      <c r="A22" s="9" t="s"/>
      <c r="B22" s="10" t="s"/>
      <c r="C22" s="12" t="s">
        <v>28</v>
      </c>
      <c r="D22" s="9">
        <v>500</v>
      </c>
      <c r="E22" s="11">
        <v>50</v>
      </c>
      <c r="F22" s="31">
        <v>1001018</v>
      </c>
      <c r="G22" s="37" t="s">
        <v>194</v>
      </c>
    </row>
    <row r="23" spans="1:7" s="46" customFormat="1">
      <c r="A23" s="9" t="s"/>
      <c r="B23" s="10" t="s"/>
      <c r="C23" s="13" t="s">
        <v>29</v>
      </c>
      <c r="D23" s="9">
        <v>300</v>
      </c>
      <c r="E23" s="11">
        <v>8</v>
      </c>
      <c r="F23" s="31">
        <v>1006044</v>
      </c>
      <c r="G23" s="37" t="s">
        <v>198</v>
      </c>
    </row>
    <row r="24" spans="1:7" s="46" customFormat="1">
      <c r="A24" s="9" t="s"/>
      <c r="B24" s="10" t="s"/>
      <c r="C24" s="9" t="s">
        <v>14</v>
      </c>
      <c r="D24" s="9">
        <v>6000</v>
      </c>
      <c r="E24" s="11">
        <v>4</v>
      </c>
      <c r="F24" s="31">
        <v>1006030</v>
      </c>
      <c r="G24" s="37" t="s">
        <v>194</v>
      </c>
    </row>
    <row r="25" spans="1:7" s="46" customFormat="1">
      <c r="A25" s="9" t="s"/>
      <c r="B25" s="10" t="s"/>
      <c r="C25" s="13" t="s">
        <v>30</v>
      </c>
      <c r="D25" s="9">
        <v>750</v>
      </c>
      <c r="E25" s="11">
        <v>4</v>
      </c>
      <c r="F25" s="31">
        <v>1006023</v>
      </c>
      <c r="G25" s="37" t="s">
        <v>194</v>
      </c>
    </row>
    <row r="26" spans="1:7" s="46" customFormat="1" ht="13.9">
      <c r="A26" s="9">
        <v>3</v>
      </c>
      <c r="B26" s="15" t="s">
        <v>31</v>
      </c>
      <c r="C26" s="14" t="s">
        <v>32</v>
      </c>
      <c r="D26" s="9">
        <v>500</v>
      </c>
      <c r="E26" s="11">
        <v>40</v>
      </c>
      <c r="F26" s="31">
        <v>1003016</v>
      </c>
      <c r="G26" s="37" t="s">
        <v>194</v>
      </c>
    </row>
    <row r="27" spans="1:7" s="46" customFormat="1">
      <c r="A27" s="9" t="s"/>
      <c r="B27" s="16" t="s"/>
      <c r="C27" s="13" t="s">
        <v>33</v>
      </c>
      <c r="D27" s="9">
        <v>500</v>
      </c>
      <c r="E27" s="11">
        <v>23.5</v>
      </c>
      <c r="F27" s="31">
        <v>1001013</v>
      </c>
      <c r="G27" s="37" t="s">
        <v>194</v>
      </c>
    </row>
    <row r="28" spans="1:7" s="46" customFormat="1">
      <c r="A28" s="9" t="s"/>
      <c r="B28" s="16" t="s"/>
      <c r="C28" s="13" t="s">
        <v>24</v>
      </c>
      <c r="D28" s="9">
        <v>500</v>
      </c>
      <c r="E28" s="11">
        <v>3.2</v>
      </c>
      <c r="F28" s="31">
        <v>1001055</v>
      </c>
      <c r="G28" s="37" t="s">
        <v>194</v>
      </c>
    </row>
    <row r="29" spans="1:7" s="46" customFormat="1">
      <c r="A29" s="9" t="s"/>
      <c r="B29" s="16" t="s"/>
      <c r="C29" s="12" t="s">
        <v>17</v>
      </c>
      <c r="D29" s="9">
        <v>500</v>
      </c>
      <c r="E29" s="11">
        <v>5.5</v>
      </c>
      <c r="F29" s="31">
        <v>1001002</v>
      </c>
      <c r="G29" s="37" t="s">
        <v>194</v>
      </c>
    </row>
    <row r="30" spans="1:7" s="46" customFormat="1">
      <c r="A30" s="9" t="s"/>
      <c r="B30" s="16" t="s"/>
      <c r="C30" s="13" t="s">
        <v>23</v>
      </c>
      <c r="D30" s="9">
        <v>500</v>
      </c>
      <c r="E30" s="11">
        <v>5.3</v>
      </c>
      <c r="F30" s="31">
        <v>1001005</v>
      </c>
      <c r="G30" s="37" t="s">
        <v>194</v>
      </c>
    </row>
    <row r="31" spans="1:7" s="46" customFormat="1">
      <c r="A31" s="9" t="s"/>
      <c r="B31" s="16" t="s"/>
      <c r="C31" s="13" t="s">
        <v>34</v>
      </c>
      <c r="D31" s="9">
        <v>500</v>
      </c>
      <c r="E31" s="11">
        <v>2.5</v>
      </c>
      <c r="F31" s="31">
        <v>1001010</v>
      </c>
      <c r="G31" s="37" t="s">
        <v>194</v>
      </c>
    </row>
    <row r="32" spans="1:7" s="46" customFormat="1">
      <c r="A32" s="9" t="s"/>
      <c r="B32" s="16" t="s"/>
      <c r="C32" s="13" t="s">
        <v>35</v>
      </c>
      <c r="D32" s="9">
        <v>500</v>
      </c>
      <c r="E32" s="11">
        <v>2.2</v>
      </c>
      <c r="F32" s="31">
        <v>1001045</v>
      </c>
      <c r="G32" s="37" t="s">
        <v>194</v>
      </c>
    </row>
    <row r="33" spans="1:7" s="46" customFormat="1">
      <c r="A33" s="9" t="s"/>
      <c r="B33" s="16" t="s"/>
      <c r="C33" s="13" t="s">
        <v>29</v>
      </c>
      <c r="D33" s="9">
        <v>300</v>
      </c>
      <c r="E33" s="11">
        <v>5</v>
      </c>
      <c r="F33" s="31">
        <v>1006044</v>
      </c>
      <c r="G33" s="37" t="s">
        <v>198</v>
      </c>
    </row>
    <row r="34" spans="1:7" s="46" customFormat="1">
      <c r="A34" s="9" t="s"/>
      <c r="B34" s="16" t="s"/>
      <c r="C34" s="13" t="s">
        <v>36</v>
      </c>
      <c r="D34" s="9">
        <v>500</v>
      </c>
      <c r="E34" s="11">
        <v>10</v>
      </c>
      <c r="F34" s="31">
        <v>1001009</v>
      </c>
      <c r="G34" s="37" t="s">
        <v>194</v>
      </c>
    </row>
    <row r="35" spans="1:7" s="46" customFormat="1" ht="13.9">
      <c r="A35" s="9">
        <v>4</v>
      </c>
      <c r="B35" s="10" t="s">
        <v>37</v>
      </c>
      <c r="C35" s="14" t="s">
        <v>38</v>
      </c>
      <c r="D35" s="9">
        <v>1000</v>
      </c>
      <c r="E35" s="11">
        <v>190</v>
      </c>
      <c r="F35" s="31">
        <v>1009007</v>
      </c>
      <c r="G35" s="37" t="s">
        <v>194</v>
      </c>
    </row>
    <row r="36" spans="1:7" s="46" customFormat="1" ht="13.9">
      <c r="A36" s="9" t="s"/>
      <c r="B36" s="10" t="s"/>
      <c r="C36" s="14" t="s">
        <v>39</v>
      </c>
      <c r="D36" s="9">
        <v>500</v>
      </c>
      <c r="E36" s="11">
        <v>9.5</v>
      </c>
      <c r="F36" s="31">
        <v>1001073</v>
      </c>
      <c r="G36" s="37" t="s">
        <v>194</v>
      </c>
    </row>
    <row r="37" spans="1:7" s="46" customFormat="1">
      <c r="A37" s="9" t="s"/>
      <c r="B37" s="10" t="s"/>
      <c r="C37" s="13" t="s">
        <v>40</v>
      </c>
      <c r="D37" s="9">
        <v>500</v>
      </c>
      <c r="E37" s="11">
        <v>5</v>
      </c>
      <c r="F37" s="31">
        <v>1006046</v>
      </c>
      <c r="G37" s="37" t="s">
        <v>194</v>
      </c>
    </row>
    <row r="38" spans="1:7" s="46" customFormat="1">
      <c r="A38" s="9" t="s"/>
      <c r="B38" s="10" t="s"/>
      <c r="C38" s="13" t="s">
        <v>20</v>
      </c>
      <c r="D38" s="9">
        <v>500</v>
      </c>
      <c r="E38" s="11">
        <v>9.6</v>
      </c>
      <c r="F38" s="31">
        <v>1001075</v>
      </c>
      <c r="G38" s="37" t="s">
        <v>194</v>
      </c>
    </row>
    <row r="39" spans="1:7" s="46" customFormat="1">
      <c r="A39" s="9" t="s"/>
      <c r="B39" s="10" t="s"/>
      <c r="C39" s="13" t="s">
        <v>41</v>
      </c>
      <c r="D39" s="9">
        <v>500</v>
      </c>
      <c r="E39" s="11">
        <v>3.75</v>
      </c>
      <c r="F39" s="31">
        <v>1006047</v>
      </c>
      <c r="G39" s="37" t="s">
        <v>194</v>
      </c>
    </row>
    <row r="40" spans="1:7" s="46" customFormat="1">
      <c r="A40" s="9" t="s"/>
      <c r="B40" s="10" t="s"/>
      <c r="C40" s="13" t="s">
        <v>42</v>
      </c>
      <c r="D40" s="9">
        <v>500</v>
      </c>
      <c r="E40" s="11">
        <v>6.25</v>
      </c>
      <c r="F40" s="31">
        <v>1006050</v>
      </c>
      <c r="G40" s="37" t="s">
        <v>194</v>
      </c>
    </row>
    <row r="41" spans="1:7" s="46" customFormat="1">
      <c r="A41" s="9" t="s"/>
      <c r="B41" s="10" t="s"/>
      <c r="C41" s="13" t="s">
        <v>43</v>
      </c>
      <c r="D41" s="9">
        <v>448</v>
      </c>
      <c r="E41" s="11">
        <v>2.5</v>
      </c>
      <c r="F41" s="31">
        <v>1006016</v>
      </c>
      <c r="G41" s="37" t="s">
        <v>194</v>
      </c>
    </row>
    <row r="42" spans="1:7" s="46" customFormat="1">
      <c r="A42" s="9" t="s"/>
      <c r="B42" s="10" t="s"/>
      <c r="C42" s="13" t="s">
        <v>44</v>
      </c>
      <c r="D42" s="9">
        <v>265</v>
      </c>
      <c r="E42" s="11">
        <v>0.625</v>
      </c>
      <c r="F42" s="31">
        <v>1006005</v>
      </c>
      <c r="G42" s="37" t="s">
        <v>198</v>
      </c>
    </row>
    <row r="43" spans="1:7" s="46" customFormat="1">
      <c r="A43" s="9" t="s"/>
      <c r="B43" s="10" t="s"/>
      <c r="C43" s="13" t="s">
        <v>14</v>
      </c>
      <c r="D43" s="9">
        <v>6000</v>
      </c>
      <c r="E43" s="11">
        <v>1.875</v>
      </c>
      <c r="F43" s="31">
        <v>1006030</v>
      </c>
      <c r="G43" s="37" t="s">
        <v>194</v>
      </c>
    </row>
    <row r="44" spans="1:7" s="46" customFormat="1">
      <c r="A44" s="9" t="s"/>
      <c r="B44" s="10" t="s"/>
      <c r="C44" s="13" t="s">
        <v>39</v>
      </c>
      <c r="D44" s="9">
        <v>500</v>
      </c>
      <c r="E44" s="11">
        <v>9.5</v>
      </c>
      <c r="F44" s="31">
        <v>1001073</v>
      </c>
      <c r="G44" s="37" t="s">
        <v>194</v>
      </c>
    </row>
    <row r="45" spans="1:7" s="46" customFormat="1">
      <c r="A45" s="9" t="s"/>
      <c r="B45" s="10" t="s"/>
      <c r="C45" s="12" t="s">
        <v>12</v>
      </c>
      <c r="D45" s="9">
        <v>10000</v>
      </c>
      <c r="E45" s="11">
        <v>17</v>
      </c>
      <c r="F45" s="31">
        <v>1005004</v>
      </c>
      <c r="G45" s="37" t="s">
        <v>194</v>
      </c>
    </row>
    <row r="46" spans="1:7" s="46" customFormat="1">
      <c r="A46" s="9" t="s"/>
      <c r="B46" s="10" t="s"/>
      <c r="C46" s="13" t="s">
        <v>23</v>
      </c>
      <c r="D46" s="9">
        <v>500</v>
      </c>
      <c r="E46" s="11">
        <f>=500/60</f>
        <v>8.33333333333334</v>
      </c>
      <c r="F46" s="31">
        <v>1001005</v>
      </c>
      <c r="G46" s="37" t="s">
        <v>194</v>
      </c>
    </row>
    <row r="47" spans="1:7" s="46" customFormat="1">
      <c r="A47" s="9" t="s"/>
      <c r="B47" s="10" t="s"/>
      <c r="C47" s="13" t="s">
        <v>11</v>
      </c>
      <c r="D47" s="9">
        <v>500</v>
      </c>
      <c r="E47" s="11">
        <v>15</v>
      </c>
      <c r="F47" s="31">
        <v>1001025</v>
      </c>
      <c r="G47" s="37" t="s">
        <v>194</v>
      </c>
    </row>
    <row r="48" spans="1:7" s="46" customFormat="1" ht="13.9">
      <c r="A48" s="9">
        <v>5</v>
      </c>
      <c r="B48" s="10" t="s">
        <v>45</v>
      </c>
      <c r="C48" s="14" t="s">
        <v>46</v>
      </c>
      <c r="D48" s="9">
        <v>650</v>
      </c>
      <c r="E48" s="11">
        <v>132</v>
      </c>
      <c r="F48" s="31">
        <v>1009006</v>
      </c>
      <c r="G48" s="37" t="s">
        <v>194</v>
      </c>
    </row>
    <row r="49" spans="1:7" s="46" customFormat="1" ht="13.9">
      <c r="A49" s="9" t="s"/>
      <c r="B49" s="10" t="s"/>
      <c r="C49" s="14" t="s">
        <v>39</v>
      </c>
      <c r="D49" s="9">
        <v>500</v>
      </c>
      <c r="E49" s="11">
        <v>14.5</v>
      </c>
      <c r="F49" s="31">
        <v>1001073</v>
      </c>
      <c r="G49" s="37" t="s">
        <v>194</v>
      </c>
    </row>
    <row r="50" spans="1:7" s="46" customFormat="1">
      <c r="A50" s="9" t="s"/>
      <c r="B50" s="10" t="s"/>
      <c r="C50" s="13" t="s">
        <v>40</v>
      </c>
      <c r="D50" s="9">
        <v>500</v>
      </c>
      <c r="E50" s="11">
        <v>5</v>
      </c>
      <c r="F50" s="31">
        <v>1006046</v>
      </c>
      <c r="G50" s="37" t="s">
        <v>194</v>
      </c>
    </row>
    <row r="51" spans="1:7" s="46" customFormat="1">
      <c r="A51" s="9" t="s"/>
      <c r="B51" s="10" t="s"/>
      <c r="C51" s="13" t="s">
        <v>20</v>
      </c>
      <c r="D51" s="9">
        <v>500</v>
      </c>
      <c r="E51" s="11">
        <v>9.6</v>
      </c>
      <c r="F51" s="31">
        <v>1001075</v>
      </c>
      <c r="G51" s="37" t="s">
        <v>194</v>
      </c>
    </row>
    <row r="52" spans="1:7" s="46" customFormat="1">
      <c r="A52" s="9" t="s"/>
      <c r="B52" s="10" t="s"/>
      <c r="C52" s="13" t="s">
        <v>39</v>
      </c>
      <c r="D52" s="9">
        <v>500</v>
      </c>
      <c r="E52" s="11">
        <v>9.5</v>
      </c>
      <c r="F52" s="31">
        <v>1001073</v>
      </c>
      <c r="G52" s="37" t="s">
        <v>194</v>
      </c>
    </row>
    <row r="53" spans="1:7" s="46" customFormat="1">
      <c r="A53" s="9" t="s"/>
      <c r="B53" s="10" t="s"/>
      <c r="C53" s="13" t="s">
        <v>41</v>
      </c>
      <c r="D53" s="9">
        <v>500</v>
      </c>
      <c r="E53" s="11">
        <v>3.75</v>
      </c>
      <c r="F53" s="31">
        <v>1006047</v>
      </c>
      <c r="G53" s="37" t="s">
        <v>194</v>
      </c>
    </row>
    <row r="54" spans="1:7" s="46" customFormat="1">
      <c r="A54" s="9" t="s"/>
      <c r="B54" s="10" t="s"/>
      <c r="C54" s="13" t="s">
        <v>42</v>
      </c>
      <c r="D54" s="9">
        <v>500</v>
      </c>
      <c r="E54" s="11">
        <v>6.25</v>
      </c>
      <c r="F54" s="31">
        <v>1006050</v>
      </c>
      <c r="G54" s="37" t="s">
        <v>194</v>
      </c>
    </row>
    <row r="55" spans="1:7" s="46" customFormat="1">
      <c r="A55" s="9" t="s"/>
      <c r="B55" s="10" t="s"/>
      <c r="C55" s="13" t="s">
        <v>43</v>
      </c>
      <c r="D55" s="9">
        <v>448</v>
      </c>
      <c r="E55" s="11">
        <v>2.5</v>
      </c>
      <c r="F55" s="31">
        <v>1006016</v>
      </c>
      <c r="G55" s="37" t="s">
        <v>194</v>
      </c>
    </row>
    <row r="56" spans="1:7" s="46" customFormat="1">
      <c r="A56" s="9" t="s"/>
      <c r="B56" s="10" t="s"/>
      <c r="C56" s="13" t="s">
        <v>44</v>
      </c>
      <c r="D56" s="9">
        <v>265</v>
      </c>
      <c r="E56" s="11">
        <v>0.625</v>
      </c>
      <c r="F56" s="31">
        <v>1006005</v>
      </c>
      <c r="G56" s="37" t="s">
        <v>198</v>
      </c>
    </row>
    <row r="57" spans="1:7" s="46" customFormat="1">
      <c r="A57" s="9" t="s"/>
      <c r="B57" s="10" t="s"/>
      <c r="C57" s="13" t="s">
        <v>14</v>
      </c>
      <c r="D57" s="9">
        <v>6000</v>
      </c>
      <c r="E57" s="11">
        <v>1.875</v>
      </c>
      <c r="F57" s="31">
        <v>1006030</v>
      </c>
      <c r="G57" s="37" t="s">
        <v>194</v>
      </c>
    </row>
    <row r="58" spans="1:7" s="46" customFormat="1">
      <c r="A58" s="9" t="s"/>
      <c r="B58" s="10" t="s"/>
      <c r="C58" s="12" t="s">
        <v>12</v>
      </c>
      <c r="D58" s="9">
        <v>10000</v>
      </c>
      <c r="E58" s="11">
        <v>17</v>
      </c>
      <c r="F58" s="31">
        <v>1005004</v>
      </c>
      <c r="G58" s="37" t="s">
        <v>194</v>
      </c>
    </row>
    <row r="59" spans="1:7" s="46" customFormat="1">
      <c r="A59" s="9" t="s"/>
      <c r="B59" s="10" t="s"/>
      <c r="C59" s="13" t="s">
        <v>23</v>
      </c>
      <c r="D59" s="9">
        <v>500</v>
      </c>
      <c r="E59" s="11">
        <f>=500/60</f>
        <v>8.33333333333334</v>
      </c>
      <c r="F59" s="31">
        <v>1001005</v>
      </c>
      <c r="G59" s="37" t="s">
        <v>194</v>
      </c>
    </row>
    <row r="60" spans="1:7" s="46" customFormat="1">
      <c r="A60" s="9" t="s"/>
      <c r="B60" s="10" t="s"/>
      <c r="C60" s="13" t="s">
        <v>11</v>
      </c>
      <c r="D60" s="9">
        <v>500</v>
      </c>
      <c r="E60" s="11">
        <v>15</v>
      </c>
      <c r="F60" s="31">
        <v>1001025</v>
      </c>
      <c r="G60" s="37" t="s">
        <v>194</v>
      </c>
    </row>
    <row r="61" spans="1:7" s="46" customFormat="1">
      <c r="A61" s="9">
        <v>6</v>
      </c>
      <c r="B61" s="10" t="s">
        <v>47</v>
      </c>
      <c r="C61" s="13" t="s">
        <v>48</v>
      </c>
      <c r="D61" s="9">
        <v>500</v>
      </c>
      <c r="E61" s="11">
        <v>350</v>
      </c>
      <c r="F61" s="31">
        <v>1003002</v>
      </c>
      <c r="G61" s="37" t="s">
        <v>194</v>
      </c>
    </row>
    <row r="62" spans="1:7" s="46" customFormat="1">
      <c r="A62" s="9" t="s"/>
      <c r="B62" s="10" t="s"/>
      <c r="C62" s="13" t="s">
        <v>23</v>
      </c>
      <c r="D62" s="9">
        <v>500</v>
      </c>
      <c r="E62" s="11">
        <v>16</v>
      </c>
      <c r="F62" s="31">
        <v>1001005</v>
      </c>
      <c r="G62" s="37" t="s">
        <v>194</v>
      </c>
    </row>
    <row r="63" spans="1:7" s="46" customFormat="1" ht="15" customHeight="1">
      <c r="A63" s="9" t="s"/>
      <c r="B63" s="10" t="s"/>
      <c r="C63" s="12" t="s">
        <v>17</v>
      </c>
      <c r="D63" s="9">
        <v>500</v>
      </c>
      <c r="E63" s="11">
        <v>14</v>
      </c>
      <c r="F63" s="31">
        <v>1001002</v>
      </c>
      <c r="G63" s="37" t="s">
        <v>194</v>
      </c>
    </row>
    <row r="64" spans="1:7" s="46" customFormat="1" ht="15" customHeight="1">
      <c r="A64" s="9" t="s"/>
      <c r="B64" s="10" t="s"/>
      <c r="C64" s="13" t="s">
        <v>15</v>
      </c>
      <c r="D64" s="9">
        <v>400</v>
      </c>
      <c r="E64" s="11">
        <v>2.08</v>
      </c>
      <c r="F64" s="31">
        <v>1006022</v>
      </c>
      <c r="G64" s="37" t="s">
        <v>194</v>
      </c>
    </row>
    <row r="65" spans="1:7" s="46" customFormat="1" ht="15" customHeight="1">
      <c r="A65" s="9" t="s"/>
      <c r="B65" s="10" t="s"/>
      <c r="C65" s="13" t="s">
        <v>49</v>
      </c>
      <c r="D65" s="9">
        <v>1000</v>
      </c>
      <c r="E65" s="11">
        <v>1.25</v>
      </c>
      <c r="F65" s="31">
        <v>1006028</v>
      </c>
      <c r="G65" s="37" t="s">
        <v>194</v>
      </c>
    </row>
    <row r="66" spans="1:7" s="46" customFormat="1" ht="15" customHeight="1">
      <c r="A66" s="9" t="s"/>
      <c r="B66" s="10" t="s"/>
      <c r="C66" s="13" t="s">
        <v>50</v>
      </c>
      <c r="D66" s="9">
        <v>500</v>
      </c>
      <c r="E66" s="11">
        <v>15</v>
      </c>
      <c r="F66" s="31">
        <v>1001046</v>
      </c>
      <c r="G66" s="37" t="s">
        <v>194</v>
      </c>
    </row>
    <row r="67" spans="1:7" s="46" customFormat="1" ht="15" customHeight="1">
      <c r="A67" s="9" t="s"/>
      <c r="B67" s="10" t="s"/>
      <c r="C67" s="13" t="s">
        <v>51</v>
      </c>
      <c r="D67" s="9">
        <v>500</v>
      </c>
      <c r="E67" s="11">
        <v>15</v>
      </c>
      <c r="F67" s="31">
        <v>1006038</v>
      </c>
      <c r="G67" s="37" t="s">
        <v>194</v>
      </c>
    </row>
    <row r="68" spans="1:7" s="46" customFormat="1" ht="15" customHeight="1">
      <c r="A68" s="9" t="s"/>
      <c r="B68" s="10" t="s"/>
      <c r="C68" s="13" t="s">
        <v>52</v>
      </c>
      <c r="D68" s="9">
        <v>320</v>
      </c>
      <c r="E68" s="11">
        <v>3.4</v>
      </c>
      <c r="F68" s="31">
        <v>1002002</v>
      </c>
      <c r="G68" s="37" t="s">
        <v>194</v>
      </c>
    </row>
    <row r="69" spans="1:7" s="46" customFormat="1" ht="15" customHeight="1">
      <c r="A69" s="9" t="s"/>
      <c r="B69" s="10" t="s"/>
      <c r="C69" s="13" t="s">
        <v>53</v>
      </c>
      <c r="D69" s="9">
        <v>500</v>
      </c>
      <c r="E69" s="11">
        <v>0.86</v>
      </c>
      <c r="F69" s="31">
        <v>1006084</v>
      </c>
      <c r="G69" s="37" t="s">
        <v>194</v>
      </c>
    </row>
    <row r="70" spans="1:7" s="46" customFormat="1" ht="15" customHeight="1">
      <c r="A70" s="9" t="s"/>
      <c r="B70" s="10" t="s"/>
      <c r="C70" s="13" t="s">
        <v>18</v>
      </c>
      <c r="D70" s="9">
        <v>2000</v>
      </c>
      <c r="E70" s="11">
        <v>0.86</v>
      </c>
      <c r="F70" s="31">
        <v>1006033</v>
      </c>
      <c r="G70" s="37" t="s">
        <v>194</v>
      </c>
    </row>
    <row r="71" spans="1:7" s="46" customFormat="1" ht="15" customHeight="1">
      <c r="A71" s="9" t="s"/>
      <c r="B71" s="10" t="s"/>
      <c r="C71" s="13" t="s">
        <v>24</v>
      </c>
      <c r="D71" s="9">
        <v>500</v>
      </c>
      <c r="E71" s="11">
        <v>0.2</v>
      </c>
      <c r="F71" s="31">
        <v>1001055</v>
      </c>
      <c r="G71" s="37" t="s">
        <v>194</v>
      </c>
    </row>
    <row r="72" spans="1:7" s="46" customFormat="1">
      <c r="A72" s="9" t="s"/>
      <c r="B72" s="10" t="s"/>
      <c r="C72" s="13" t="s">
        <v>54</v>
      </c>
      <c r="D72" s="9">
        <v>500</v>
      </c>
      <c r="E72" s="11">
        <v>21.5</v>
      </c>
      <c r="F72" s="31">
        <v>1001003</v>
      </c>
      <c r="G72" s="37" t="s">
        <v>194</v>
      </c>
    </row>
    <row r="73" spans="1:7" s="46" customFormat="1">
      <c r="A73" s="9">
        <v>8</v>
      </c>
      <c r="B73" s="10" t="s">
        <v>55</v>
      </c>
      <c r="C73" s="9" t="s">
        <v>56</v>
      </c>
      <c r="D73" s="9">
        <v>500</v>
      </c>
      <c r="E73" s="11">
        <v>1500</v>
      </c>
      <c r="F73" s="31">
        <v>1003003</v>
      </c>
      <c r="G73" s="37" t="s">
        <v>194</v>
      </c>
    </row>
    <row r="74" spans="1:7" s="46" customFormat="1">
      <c r="A74" s="9">
        <v>9</v>
      </c>
      <c r="B74" s="10" t="s">
        <v>58</v>
      </c>
      <c r="C74" s="9" t="s">
        <v>59</v>
      </c>
      <c r="D74" s="9">
        <v>500</v>
      </c>
      <c r="E74" s="11">
        <v>40</v>
      </c>
      <c r="F74" s="31">
        <v>1009008</v>
      </c>
      <c r="G74" s="37" t="s">
        <v>194</v>
      </c>
    </row>
    <row r="75" spans="1:7" s="46" customFormat="1" ht="13.9">
      <c r="A75" s="9" t="s"/>
      <c r="B75" s="10" t="s"/>
      <c r="C75" s="14" t="s">
        <v>60</v>
      </c>
      <c r="D75" s="9">
        <v>25000</v>
      </c>
      <c r="E75" s="11">
        <v>95</v>
      </c>
      <c r="F75" s="31">
        <v>1005001</v>
      </c>
      <c r="G75" s="37" t="s">
        <v>194</v>
      </c>
    </row>
    <row r="76" spans="1:7" s="46" customFormat="1">
      <c r="A76" s="9" t="s"/>
      <c r="B76" s="10" t="s"/>
      <c r="C76" s="40" t="s">
        <v>56</v>
      </c>
      <c r="D76" s="9">
        <v>250</v>
      </c>
      <c r="E76" s="11">
        <v>50</v>
      </c>
      <c r="F76" s="42">
        <v>1003003</v>
      </c>
      <c r="G76" s="37" t="s">
        <v>194</v>
      </c>
    </row>
    <row r="77" spans="1:7" s="46" customFormat="1">
      <c r="A77" s="9" t="s"/>
      <c r="B77" s="10" t="s"/>
      <c r="C77" s="9" t="s">
        <v>62</v>
      </c>
      <c r="D77" s="9">
        <v>480</v>
      </c>
      <c r="E77" s="11">
        <v>7.87</v>
      </c>
      <c r="F77" s="31">
        <v>1007012</v>
      </c>
      <c r="G77" s="37" t="s">
        <v>194</v>
      </c>
    </row>
    <row r="78" spans="1:7" s="46" customFormat="1">
      <c r="A78" s="9" t="s"/>
      <c r="B78" s="10" t="s"/>
      <c r="C78" s="13" t="s">
        <v>63</v>
      </c>
      <c r="D78" s="9">
        <v>500</v>
      </c>
      <c r="E78" s="11">
        <v>12</v>
      </c>
      <c r="F78" s="31">
        <v>1001036</v>
      </c>
      <c r="G78" s="37" t="s">
        <v>194</v>
      </c>
    </row>
    <row r="79" spans="1:7" s="46" customFormat="1">
      <c r="A79" s="9" t="s"/>
      <c r="B79" s="10" t="s"/>
      <c r="C79" s="13" t="s">
        <v>64</v>
      </c>
      <c r="D79" s="9">
        <v>1000</v>
      </c>
      <c r="E79" s="11">
        <v>50</v>
      </c>
      <c r="F79" s="31">
        <v>1009026</v>
      </c>
      <c r="G79" s="37" t="s">
        <v>194</v>
      </c>
    </row>
    <row r="80" spans="1:7" s="46" customFormat="1">
      <c r="A80" s="9" t="s"/>
      <c r="B80" s="10" t="s"/>
      <c r="C80" s="12" t="s">
        <v>65</v>
      </c>
      <c r="D80" s="9">
        <v>800</v>
      </c>
      <c r="E80" s="11">
        <v>7.87</v>
      </c>
      <c r="F80" s="31">
        <v>1006053</v>
      </c>
      <c r="G80" s="37" t="s">
        <v>194</v>
      </c>
    </row>
    <row r="81" spans="1:7" s="46" customFormat="1">
      <c r="A81" s="9" t="s"/>
      <c r="B81" s="10" t="s"/>
      <c r="C81" s="13" t="s">
        <v>42</v>
      </c>
      <c r="D81" s="9">
        <v>500</v>
      </c>
      <c r="E81" s="11">
        <v>11.8</v>
      </c>
      <c r="F81" s="31">
        <v>1006050</v>
      </c>
      <c r="G81" s="37" t="s">
        <v>194</v>
      </c>
    </row>
    <row r="82" spans="1:7" s="46" customFormat="1">
      <c r="A82" s="9" t="s"/>
      <c r="B82" s="10" t="s"/>
      <c r="C82" s="13" t="s">
        <v>66</v>
      </c>
      <c r="D82" s="9">
        <v>480</v>
      </c>
      <c r="E82" s="11">
        <v>2.7</v>
      </c>
      <c r="F82" s="31">
        <v>1006031</v>
      </c>
      <c r="G82" s="37" t="s">
        <v>194</v>
      </c>
    </row>
    <row r="83" spans="1:7" s="46" customFormat="1">
      <c r="A83" s="9" t="s"/>
      <c r="B83" s="10" t="s"/>
      <c r="C83" s="13" t="s">
        <v>67</v>
      </c>
      <c r="D83" s="9">
        <v>500</v>
      </c>
      <c r="E83" s="11">
        <v>1.6</v>
      </c>
      <c r="F83" s="31">
        <v>1006013</v>
      </c>
      <c r="G83" s="37" t="s">
        <v>194</v>
      </c>
    </row>
    <row r="84" spans="1:7" s="46" customFormat="1">
      <c r="A84" s="9" t="s"/>
      <c r="B84" s="10" t="s"/>
      <c r="C84" s="13" t="s">
        <v>14</v>
      </c>
      <c r="D84" s="9">
        <v>6000</v>
      </c>
      <c r="E84" s="11">
        <v>7.87</v>
      </c>
      <c r="F84" s="31">
        <v>1006030</v>
      </c>
      <c r="G84" s="37" t="s">
        <v>194</v>
      </c>
    </row>
    <row r="85" spans="1:7" s="46" customFormat="1">
      <c r="A85" s="9" t="s"/>
      <c r="B85" s="10" t="s"/>
      <c r="C85" s="13" t="s">
        <v>68</v>
      </c>
      <c r="D85" s="9">
        <v>1000</v>
      </c>
      <c r="E85" s="11">
        <v>0.4</v>
      </c>
      <c r="F85" s="31">
        <v>1006080</v>
      </c>
      <c r="G85" s="37" t="s">
        <v>194</v>
      </c>
    </row>
    <row r="86" spans="1:7" s="46" customFormat="1">
      <c r="A86" s="9" t="s"/>
      <c r="B86" s="10" t="s"/>
      <c r="C86" s="13" t="s">
        <v>14</v>
      </c>
      <c r="D86" s="9">
        <v>6000</v>
      </c>
      <c r="E86" s="11">
        <v>7.87</v>
      </c>
      <c r="F86" s="31">
        <v>1006030</v>
      </c>
      <c r="G86" s="37" t="s">
        <v>194</v>
      </c>
    </row>
    <row r="87" spans="1:7" s="46" customFormat="1">
      <c r="A87" s="9" t="s"/>
      <c r="B87" s="10" t="s"/>
      <c r="C87" s="13" t="s">
        <v>39</v>
      </c>
      <c r="D87" s="9">
        <v>500</v>
      </c>
      <c r="E87" s="11">
        <v>2.4</v>
      </c>
      <c r="F87" s="31">
        <v>1001073</v>
      </c>
      <c r="G87" s="37" t="s">
        <v>194</v>
      </c>
    </row>
    <row r="88" spans="1:7" s="46" customFormat="1">
      <c r="A88" s="9" t="s"/>
      <c r="B88" s="10" t="s"/>
      <c r="C88" s="13" t="s">
        <v>69</v>
      </c>
      <c r="D88" s="9">
        <v>1000</v>
      </c>
      <c r="E88" s="11">
        <v>30</v>
      </c>
      <c r="F88" s="31">
        <v>1009011</v>
      </c>
      <c r="G88" s="37" t="s">
        <v>194</v>
      </c>
    </row>
    <row r="89" spans="1:7" ht="13.9">
      <c r="A89" s="9">
        <v>10</v>
      </c>
      <c r="B89" s="10" t="s">
        <v>70</v>
      </c>
      <c r="C89" s="14" t="s">
        <v>71</v>
      </c>
      <c r="D89" s="9">
        <v>500</v>
      </c>
      <c r="E89" s="11">
        <v>100</v>
      </c>
      <c r="F89" s="31">
        <v>1005002</v>
      </c>
      <c r="G89" s="37" t="s">
        <v>194</v>
      </c>
    </row>
    <row r="90" spans="1:7">
      <c r="A90" s="9" t="s"/>
      <c r="B90" s="10" t="s"/>
      <c r="C90" s="12" t="s">
        <v>72</v>
      </c>
      <c r="D90" s="9">
        <v>350</v>
      </c>
      <c r="E90" s="11">
        <v>4.3</v>
      </c>
      <c r="F90" s="31">
        <v>1009003</v>
      </c>
      <c r="G90" s="37" t="s">
        <v>194</v>
      </c>
    </row>
    <row r="91" spans="1:7">
      <c r="A91" s="9" t="s"/>
      <c r="B91" s="10" t="s"/>
      <c r="C91" s="13" t="s">
        <v>73</v>
      </c>
      <c r="D91" s="9">
        <v>400</v>
      </c>
      <c r="E91" s="11">
        <v>100</v>
      </c>
      <c r="F91" s="31">
        <v>1009013</v>
      </c>
      <c r="G91" s="37" t="s">
        <v>194</v>
      </c>
    </row>
    <row r="92" spans="1:7">
      <c r="A92" s="9" t="s"/>
      <c r="B92" s="10" t="s"/>
      <c r="C92" s="12" t="s">
        <v>63</v>
      </c>
      <c r="D92" s="9">
        <v>500</v>
      </c>
      <c r="E92" s="11">
        <v>17</v>
      </c>
      <c r="F92" s="31">
        <v>1001036</v>
      </c>
      <c r="G92" s="37" t="s">
        <v>194</v>
      </c>
    </row>
    <row r="93" spans="1:7">
      <c r="A93" s="9" t="s"/>
      <c r="B93" s="10" t="s"/>
      <c r="C93" s="13" t="s">
        <v>64</v>
      </c>
      <c r="D93" s="9">
        <v>1000</v>
      </c>
      <c r="E93" s="11">
        <v>60</v>
      </c>
      <c r="F93" s="31">
        <v>1009026</v>
      </c>
      <c r="G93" s="37" t="s">
        <v>194</v>
      </c>
    </row>
    <row r="94" spans="1:7">
      <c r="A94" s="9" t="s"/>
      <c r="B94" s="10" t="s"/>
      <c r="C94" s="13" t="s">
        <v>74</v>
      </c>
      <c r="D94" s="9">
        <v>480</v>
      </c>
      <c r="E94" s="11">
        <v>3</v>
      </c>
      <c r="F94" s="31">
        <v>1006045</v>
      </c>
      <c r="G94" s="37" t="s">
        <v>194</v>
      </c>
    </row>
    <row r="95" spans="1:7">
      <c r="A95" s="9" t="s"/>
      <c r="B95" s="10" t="s"/>
      <c r="C95" s="13" t="s">
        <v>42</v>
      </c>
      <c r="D95" s="9">
        <v>500</v>
      </c>
      <c r="E95" s="11">
        <v>15</v>
      </c>
      <c r="F95" s="31">
        <v>1006050</v>
      </c>
      <c r="G95" s="37" t="s">
        <v>194</v>
      </c>
    </row>
    <row r="96" spans="1:7">
      <c r="A96" s="9" t="s"/>
      <c r="B96" s="10" t="s"/>
      <c r="C96" s="13" t="s">
        <v>43</v>
      </c>
      <c r="D96" s="9">
        <v>448</v>
      </c>
      <c r="E96" s="11">
        <v>6.5</v>
      </c>
      <c r="F96" s="31">
        <v>1006016</v>
      </c>
      <c r="G96" s="37" t="s">
        <v>194</v>
      </c>
    </row>
    <row r="97" spans="1:7">
      <c r="A97" s="9" t="s"/>
      <c r="B97" s="10" t="s"/>
      <c r="C97" s="13" t="s">
        <v>44</v>
      </c>
      <c r="D97" s="9">
        <v>265</v>
      </c>
      <c r="E97" s="11">
        <v>1.5</v>
      </c>
      <c r="F97" s="31">
        <v>1006005</v>
      </c>
      <c r="G97" s="37" t="s">
        <v>198</v>
      </c>
    </row>
    <row r="98" spans="1:7">
      <c r="A98" s="9" t="s"/>
      <c r="B98" s="10" t="s"/>
      <c r="C98" s="12" t="s">
        <v>14</v>
      </c>
      <c r="D98" s="9">
        <v>6000</v>
      </c>
      <c r="E98" s="11">
        <v>4.5</v>
      </c>
      <c r="F98" s="31">
        <v>1006030</v>
      </c>
      <c r="G98" s="37" t="s">
        <v>194</v>
      </c>
    </row>
    <row r="99" spans="1:7">
      <c r="A99" s="9" t="s"/>
      <c r="B99" s="10" t="s"/>
      <c r="C99" s="13" t="s">
        <v>69</v>
      </c>
      <c r="D99" s="9">
        <v>1000</v>
      </c>
      <c r="E99" s="11">
        <v>40</v>
      </c>
      <c r="F99" s="31">
        <v>1009011</v>
      </c>
      <c r="G99" s="37" t="s">
        <v>194</v>
      </c>
    </row>
    <row r="100" spans="1:7">
      <c r="A100" s="9" t="s"/>
      <c r="B100" s="10" t="s"/>
      <c r="C100" s="13" t="s">
        <v>11</v>
      </c>
      <c r="D100" s="9">
        <v>500</v>
      </c>
      <c r="E100" s="11">
        <v>2.2</v>
      </c>
      <c r="F100" s="31">
        <v>1001025</v>
      </c>
      <c r="G100" s="37" t="s">
        <v>194</v>
      </c>
    </row>
    <row r="101" spans="1:7" ht="14" customHeight="1">
      <c r="A101" s="9" t="s"/>
      <c r="B101" s="10" t="s"/>
      <c r="C101" s="13" t="s">
        <v>39</v>
      </c>
      <c r="D101" s="9">
        <v>500</v>
      </c>
      <c r="E101" s="11">
        <v>2.4</v>
      </c>
      <c r="F101" s="31">
        <v>1001073</v>
      </c>
      <c r="G101" s="37" t="s">
        <v>194</v>
      </c>
    </row>
    <row r="102" spans="1:7">
      <c r="A102" s="9">
        <v>11</v>
      </c>
      <c r="B102" s="15" t="s">
        <v>75</v>
      </c>
      <c r="C102" s="13" t="s">
        <v>76</v>
      </c>
      <c r="D102" s="9">
        <v>1000</v>
      </c>
      <c r="E102" s="11">
        <v>250</v>
      </c>
      <c r="F102" s="31">
        <v>1007013</v>
      </c>
      <c r="G102" s="37" t="s">
        <v>198</v>
      </c>
    </row>
    <row r="103" spans="1:7" ht="13.9">
      <c r="A103" s="9" t="s"/>
      <c r="B103" s="16" t="s"/>
      <c r="C103" s="14" t="s">
        <v>77</v>
      </c>
      <c r="D103" s="9">
        <v>1000</v>
      </c>
      <c r="E103" s="11">
        <v>200</v>
      </c>
      <c r="F103" s="31">
        <v>1007004</v>
      </c>
      <c r="G103" s="37" t="s">
        <v>194</v>
      </c>
    </row>
    <row r="104" spans="1:7" ht="13.9">
      <c r="A104" s="9" t="s"/>
      <c r="B104" s="16" t="s"/>
      <c r="C104" s="14" t="s">
        <v>78</v>
      </c>
      <c r="D104" s="9">
        <v>1000</v>
      </c>
      <c r="E104" s="11">
        <v>250</v>
      </c>
      <c r="F104" s="31">
        <v>1007006</v>
      </c>
      <c r="G104" s="37" t="s">
        <v>194</v>
      </c>
    </row>
    <row r="105" spans="1:7">
      <c r="A105" s="18">
        <v>12</v>
      </c>
      <c r="B105" s="19" t="s">
        <v>79</v>
      </c>
      <c r="C105" s="20" t="s">
        <v>80</v>
      </c>
      <c r="D105" s="20">
        <v>500</v>
      </c>
      <c r="E105" s="20">
        <v>30</v>
      </c>
      <c r="F105" s="31">
        <v>1008002</v>
      </c>
      <c r="G105" s="37" t="s">
        <v>198</v>
      </c>
    </row>
    <row r="106" spans="1:7">
      <c r="A106" s="18" t="s"/>
      <c r="B106" s="21" t="s"/>
      <c r="C106" s="20" t="s">
        <v>81</v>
      </c>
      <c r="D106" s="20">
        <v>735</v>
      </c>
      <c r="E106" s="20">
        <v>60</v>
      </c>
      <c r="F106" s="31">
        <v>1008014</v>
      </c>
      <c r="G106" s="37" t="s">
        <v>198</v>
      </c>
    </row>
    <row r="107" spans="1:7">
      <c r="A107" s="18" t="s"/>
      <c r="B107" s="21" t="s"/>
      <c r="C107" s="20" t="s">
        <v>82</v>
      </c>
      <c r="D107" s="20">
        <v>325</v>
      </c>
      <c r="E107" s="32">
        <v>1</v>
      </c>
      <c r="F107" s="31">
        <v>1007020</v>
      </c>
      <c r="G107" s="33" t="s">
        <v>192</v>
      </c>
    </row>
    <row r="108" spans="1:7" s="46" customFormat="1">
      <c r="A108" s="9">
        <v>15</v>
      </c>
      <c r="B108" s="15" t="s">
        <v>85</v>
      </c>
      <c r="C108" s="9" t="s">
        <v>86</v>
      </c>
      <c r="D108" s="9">
        <v>500</v>
      </c>
      <c r="E108" s="11">
        <v>16</v>
      </c>
      <c r="F108" s="31">
        <v>1009015</v>
      </c>
      <c r="G108" s="38" t="s">
        <v>194</v>
      </c>
    </row>
    <row r="109" spans="1:7" s="46" customFormat="1">
      <c r="A109" s="9" t="s"/>
      <c r="B109" s="16" t="s"/>
      <c r="C109" s="9" t="s">
        <v>87</v>
      </c>
      <c r="D109" s="9">
        <v>1000</v>
      </c>
      <c r="E109" s="11">
        <v>41.6</v>
      </c>
      <c r="F109" s="31">
        <v>1007009</v>
      </c>
      <c r="G109" s="38" t="s">
        <v>194</v>
      </c>
    </row>
    <row r="110" spans="1:7" s="46" customFormat="1">
      <c r="A110" s="9" t="s"/>
      <c r="B110" s="16" t="s"/>
      <c r="C110" s="9" t="s">
        <v>88</v>
      </c>
      <c r="D110" s="9">
        <v>250</v>
      </c>
      <c r="E110" s="11">
        <f>=250/6</f>
        <v>41.6666666666667</v>
      </c>
      <c r="F110" s="31">
        <v>1009019</v>
      </c>
      <c r="G110" s="38" t="s">
        <v>198</v>
      </c>
    </row>
    <row r="111" spans="1:7" s="46" customFormat="1">
      <c r="A111" s="9" t="s"/>
      <c r="B111" s="16" t="s"/>
      <c r="C111" s="9" t="s">
        <v>89</v>
      </c>
      <c r="D111" s="9">
        <v>350</v>
      </c>
      <c r="E111" s="11">
        <f>=50/6</f>
        <v>8.33333333333334</v>
      </c>
      <c r="F111" s="31">
        <v>1006018</v>
      </c>
      <c r="G111" s="38" t="s">
        <v>198</v>
      </c>
    </row>
    <row r="112" spans="1:7" s="46" customFormat="1">
      <c r="A112" s="9" t="s"/>
      <c r="B112" s="16" t="s"/>
      <c r="C112" s="9" t="s">
        <v>67</v>
      </c>
      <c r="D112" s="9">
        <v>500</v>
      </c>
      <c r="E112" s="11">
        <f>=10/6</f>
        <v>1.66666666666667</v>
      </c>
      <c r="F112" s="31">
        <v>1006013</v>
      </c>
      <c r="G112" s="38" t="s">
        <v>194</v>
      </c>
    </row>
    <row r="113" spans="1:7" s="46" customFormat="1">
      <c r="A113" s="9" t="s"/>
      <c r="B113" s="16" t="s"/>
      <c r="C113" s="9" t="s">
        <v>90</v>
      </c>
      <c r="D113" s="9">
        <v>50</v>
      </c>
      <c r="E113" s="11">
        <v>1</v>
      </c>
      <c r="F113" s="31">
        <v>1007019</v>
      </c>
      <c r="G113" s="38" t="s">
        <v>194</v>
      </c>
    </row>
    <row r="114" spans="1:7" s="46" customFormat="1">
      <c r="A114" s="9" t="s"/>
      <c r="B114" s="16" t="s"/>
      <c r="C114" s="9" t="s">
        <v>91</v>
      </c>
      <c r="D114" s="9" t="s"/>
      <c r="E114" s="11">
        <v>3</v>
      </c>
      <c r="F114" s="31">
        <v>1002003</v>
      </c>
      <c r="G114" s="39" t="s">
        <v>194</v>
      </c>
    </row>
    <row r="115" spans="1:7" s="46" customFormat="1">
      <c r="A115" s="9">
        <v>16</v>
      </c>
      <c r="B115" s="15" t="s">
        <v>92</v>
      </c>
      <c r="C115" s="9" t="s">
        <v>93</v>
      </c>
      <c r="D115" s="9">
        <v>900</v>
      </c>
      <c r="E115" s="11">
        <v>10</v>
      </c>
      <c r="F115" s="31">
        <v>1007021</v>
      </c>
      <c r="G115" s="39" t="s">
        <v>194</v>
      </c>
    </row>
    <row r="116" spans="1:7" s="46" customFormat="1">
      <c r="A116" s="9" t="s"/>
      <c r="B116" s="16" t="s"/>
      <c r="C116" s="9" t="s">
        <v>94</v>
      </c>
      <c r="D116" s="9">
        <v>500</v>
      </c>
      <c r="E116" s="11">
        <v>10</v>
      </c>
      <c r="F116" s="31">
        <v>1007011</v>
      </c>
      <c r="G116" s="39" t="s">
        <v>194</v>
      </c>
    </row>
    <row r="117" spans="1:7" s="46" customFormat="1">
      <c r="A117" s="9" t="s"/>
      <c r="B117" s="16" t="s"/>
      <c r="C117" s="9" t="s">
        <v>95</v>
      </c>
      <c r="D117" s="9">
        <v>500</v>
      </c>
      <c r="E117" s="11">
        <v>17</v>
      </c>
      <c r="F117" s="31">
        <v>1009021</v>
      </c>
      <c r="G117" s="39" t="s">
        <v>194</v>
      </c>
    </row>
    <row r="118" spans="1:7" s="46" customFormat="1">
      <c r="A118" s="9" t="s"/>
      <c r="B118" s="16" t="s"/>
      <c r="C118" s="9" t="s">
        <v>87</v>
      </c>
      <c r="D118" s="9">
        <v>1000</v>
      </c>
      <c r="E118" s="11">
        <v>220</v>
      </c>
      <c r="F118" s="31">
        <v>1007009</v>
      </c>
      <c r="G118" s="39" t="s">
        <v>194</v>
      </c>
    </row>
    <row r="119" spans="1:7" s="46" customFormat="1">
      <c r="A119" s="9" t="s"/>
      <c r="B119" s="16" t="s"/>
      <c r="C119" s="9" t="s">
        <v>96</v>
      </c>
      <c r="D119" s="9">
        <v>950</v>
      </c>
      <c r="E119" s="11">
        <v>10</v>
      </c>
      <c r="F119" s="31">
        <v>1007003</v>
      </c>
      <c r="G119" s="39" t="s">
        <v>194</v>
      </c>
    </row>
    <row r="120" spans="1:7" ht="13.9">
      <c r="A120" s="9">
        <v>17</v>
      </c>
      <c r="B120" s="10" t="s">
        <v>97</v>
      </c>
      <c r="C120" s="14" t="s">
        <v>71</v>
      </c>
      <c r="D120" s="9">
        <v>500</v>
      </c>
      <c r="E120" s="11">
        <v>100</v>
      </c>
      <c r="F120" s="31">
        <v>1005002</v>
      </c>
      <c r="G120" s="39" t="s">
        <v>194</v>
      </c>
    </row>
    <row r="121" spans="1:7">
      <c r="A121" s="9" t="s"/>
      <c r="B121" s="10" t="s"/>
      <c r="C121" s="12" t="s">
        <v>98</v>
      </c>
      <c r="D121" s="9">
        <v>500</v>
      </c>
      <c r="E121" s="11">
        <v>62.5</v>
      </c>
      <c r="F121" s="31">
        <v>1001064</v>
      </c>
      <c r="G121" s="39" t="s">
        <v>194</v>
      </c>
    </row>
    <row r="122" spans="1:7">
      <c r="A122" s="9" t="s"/>
      <c r="B122" s="10" t="s"/>
      <c r="C122" s="13" t="s">
        <v>12</v>
      </c>
      <c r="D122" s="9">
        <v>1000</v>
      </c>
      <c r="E122" s="11">
        <v>4</v>
      </c>
      <c r="F122" s="31">
        <v>1005004</v>
      </c>
      <c r="G122" s="39" t="s">
        <v>194</v>
      </c>
    </row>
    <row r="123" spans="1:7">
      <c r="A123" s="9" t="s"/>
      <c r="B123" s="10" t="s"/>
      <c r="C123" s="12" t="s">
        <v>23</v>
      </c>
      <c r="D123" s="9">
        <v>500</v>
      </c>
      <c r="E123" s="11">
        <v>3.5</v>
      </c>
      <c r="F123" s="31">
        <v>1001005</v>
      </c>
      <c r="G123" s="39" t="s">
        <v>194</v>
      </c>
    </row>
    <row r="124" spans="1:7">
      <c r="A124" s="9" t="s"/>
      <c r="B124" s="10" t="s"/>
      <c r="C124" s="9" t="s">
        <v>99</v>
      </c>
      <c r="D124" s="9">
        <v>500</v>
      </c>
      <c r="E124" s="11">
        <v>2.5</v>
      </c>
      <c r="F124" s="31">
        <v>1001006</v>
      </c>
      <c r="G124" s="39" t="s">
        <v>194</v>
      </c>
    </row>
    <row r="125" spans="1:7">
      <c r="A125" s="9" t="s"/>
      <c r="B125" s="10" t="s"/>
      <c r="C125" s="12" t="s">
        <v>15</v>
      </c>
      <c r="D125" s="9">
        <v>400</v>
      </c>
      <c r="E125" s="11">
        <v>1</v>
      </c>
      <c r="F125" s="31">
        <v>1006022</v>
      </c>
      <c r="G125" s="39" t="s">
        <v>194</v>
      </c>
    </row>
    <row r="126" spans="1:7">
      <c r="A126" s="9" t="s"/>
      <c r="B126" s="10" t="s"/>
      <c r="C126" s="13" t="s">
        <v>100</v>
      </c>
      <c r="D126" s="9">
        <v>425</v>
      </c>
      <c r="E126" s="11">
        <v>0.125</v>
      </c>
      <c r="F126" s="31">
        <v>1006054</v>
      </c>
      <c r="G126" s="39" t="s">
        <v>194</v>
      </c>
    </row>
    <row r="127" spans="1:7">
      <c r="A127" s="9" t="s"/>
      <c r="B127" s="10" t="s"/>
      <c r="C127" s="9" t="s">
        <v>101</v>
      </c>
      <c r="D127" s="9">
        <v>500</v>
      </c>
      <c r="E127" s="11">
        <v>0.25</v>
      </c>
      <c r="F127" s="31">
        <v>1001069</v>
      </c>
      <c r="G127" s="39" t="s">
        <v>194</v>
      </c>
    </row>
    <row r="128" spans="1:7">
      <c r="A128" s="9" t="s"/>
      <c r="B128" s="10" t="s"/>
      <c r="C128" s="13" t="s">
        <v>102</v>
      </c>
      <c r="D128" s="9">
        <v>1300</v>
      </c>
      <c r="E128" s="11">
        <v>2.5</v>
      </c>
      <c r="F128" s="31">
        <v>1006006</v>
      </c>
      <c r="G128" s="39" t="s">
        <v>194</v>
      </c>
    </row>
    <row r="129" spans="1:7">
      <c r="A129" s="9" t="s"/>
      <c r="B129" s="10" t="s"/>
      <c r="C129" s="13" t="s">
        <v>10</v>
      </c>
      <c r="D129" s="9">
        <v>500</v>
      </c>
      <c r="E129" s="11">
        <v>66</v>
      </c>
      <c r="F129" s="31">
        <v>1001072</v>
      </c>
      <c r="G129" s="39" t="s">
        <v>194</v>
      </c>
    </row>
    <row r="130" spans="1:7">
      <c r="A130" s="9" t="s"/>
      <c r="B130" s="10" t="s"/>
      <c r="C130" s="13" t="s">
        <v>103</v>
      </c>
      <c r="D130" s="9">
        <v>820</v>
      </c>
      <c r="E130" s="11">
        <v>0.6</v>
      </c>
      <c r="F130" s="31">
        <v>1006014</v>
      </c>
      <c r="G130" s="39" t="s">
        <v>194</v>
      </c>
    </row>
    <row r="131" spans="1:7">
      <c r="A131" s="9" t="s"/>
      <c r="B131" s="10" t="s"/>
      <c r="C131" s="20" t="s">
        <v>68</v>
      </c>
      <c r="D131" s="20">
        <v>1000</v>
      </c>
      <c r="E131" s="20">
        <v>0.13</v>
      </c>
      <c r="F131" s="31">
        <v>1006080</v>
      </c>
      <c r="G131" s="39" t="s">
        <v>194</v>
      </c>
    </row>
    <row r="132" spans="1:7">
      <c r="A132" s="9" t="s"/>
      <c r="B132" s="10" t="s"/>
      <c r="C132" s="20" t="s">
        <v>104</v>
      </c>
      <c r="D132" s="20">
        <v>500</v>
      </c>
      <c r="E132" s="20">
        <v>10</v>
      </c>
      <c r="F132" s="31">
        <v>1001104</v>
      </c>
      <c r="G132" s="39" t="s">
        <v>194</v>
      </c>
    </row>
    <row r="133" spans="1:7">
      <c r="A133" s="9" t="s"/>
      <c r="B133" s="10" t="s"/>
      <c r="C133" s="13" t="s">
        <v>69</v>
      </c>
      <c r="D133" s="20">
        <v>1000</v>
      </c>
      <c r="E133" s="20">
        <v>40</v>
      </c>
      <c r="F133" s="31">
        <v>1009011</v>
      </c>
      <c r="G133" s="39" t="s">
        <v>194</v>
      </c>
    </row>
    <row r="134" spans="1:7">
      <c r="A134" s="9" t="s"/>
      <c r="B134" s="10" t="s"/>
      <c r="C134" s="20" t="s">
        <v>20</v>
      </c>
      <c r="D134" s="20">
        <v>500</v>
      </c>
      <c r="E134" s="20">
        <v>1.2</v>
      </c>
      <c r="F134" s="31">
        <v>1001075</v>
      </c>
      <c r="G134" s="39" t="s">
        <v>194</v>
      </c>
    </row>
    <row r="135" spans="1:7">
      <c r="A135" s="9" t="s"/>
      <c r="B135" s="10" t="s"/>
      <c r="C135" s="20" t="s">
        <v>64</v>
      </c>
      <c r="D135" s="20">
        <v>1000</v>
      </c>
      <c r="E135" s="20">
        <v>50</v>
      </c>
      <c r="F135" s="31">
        <v>1009026</v>
      </c>
      <c r="G135" s="39" t="s">
        <v>194</v>
      </c>
    </row>
    <row r="136" spans="1:7">
      <c r="A136" s="9">
        <v>18</v>
      </c>
      <c r="B136" s="19" t="s">
        <v>105</v>
      </c>
      <c r="C136" s="20" t="s">
        <v>106</v>
      </c>
      <c r="D136" s="20">
        <v>500</v>
      </c>
      <c r="E136" s="20">
        <v>235</v>
      </c>
      <c r="F136" s="31">
        <v>1001101</v>
      </c>
      <c r="G136" s="39" t="s">
        <v>194</v>
      </c>
    </row>
    <row r="137" spans="1:7">
      <c r="A137" s="9" t="s"/>
      <c r="B137" s="21" t="s"/>
      <c r="C137" s="20" t="s">
        <v>107</v>
      </c>
      <c r="D137" s="20">
        <v>500</v>
      </c>
      <c r="E137" s="20">
        <v>29</v>
      </c>
      <c r="F137" s="31">
        <v>1001001</v>
      </c>
      <c r="G137" s="39" t="s">
        <v>194</v>
      </c>
    </row>
    <row r="138" spans="1:7">
      <c r="A138" s="9" t="s"/>
      <c r="B138" s="21" t="s"/>
      <c r="C138" s="20" t="s">
        <v>108</v>
      </c>
      <c r="D138" s="20">
        <v>500</v>
      </c>
      <c r="E138" s="20">
        <v>5.2</v>
      </c>
      <c r="F138" s="31">
        <v>1006056</v>
      </c>
      <c r="G138" s="39" t="s">
        <v>194</v>
      </c>
    </row>
    <row r="139" spans="1:7">
      <c r="A139" s="9" t="s"/>
      <c r="B139" s="21" t="s"/>
      <c r="C139" s="20" t="s">
        <v>109</v>
      </c>
      <c r="D139" s="20">
        <v>400</v>
      </c>
      <c r="E139" s="20">
        <v>2</v>
      </c>
      <c r="F139" s="31">
        <v>1006087</v>
      </c>
      <c r="G139" s="39" t="s">
        <v>194</v>
      </c>
    </row>
    <row r="140" spans="1:7">
      <c r="A140" s="9" t="s"/>
      <c r="B140" s="21" t="s"/>
      <c r="C140" s="20" t="s">
        <v>110</v>
      </c>
      <c r="D140" s="20">
        <v>500</v>
      </c>
      <c r="E140" s="20">
        <v>10.5</v>
      </c>
      <c r="F140" s="31">
        <v>1006088</v>
      </c>
      <c r="G140" s="39" t="s">
        <v>194</v>
      </c>
    </row>
    <row r="141" spans="1:7">
      <c r="A141" s="9" t="s"/>
      <c r="B141" s="21" t="s"/>
      <c r="C141" s="12" t="s">
        <v>12</v>
      </c>
      <c r="D141" s="20">
        <v>10000</v>
      </c>
      <c r="E141" s="20">
        <v>30</v>
      </c>
      <c r="F141" s="31">
        <v>1005004</v>
      </c>
      <c r="G141" s="39" t="s">
        <v>194</v>
      </c>
    </row>
    <row r="142" spans="1:7">
      <c r="A142" s="9" t="s"/>
      <c r="B142" s="21" t="s"/>
      <c r="C142" s="20" t="s">
        <v>49</v>
      </c>
      <c r="D142" s="20">
        <v>1000</v>
      </c>
      <c r="E142" s="20">
        <v>5</v>
      </c>
      <c r="F142" s="31">
        <v>1006028</v>
      </c>
      <c r="G142" s="39" t="s">
        <v>194</v>
      </c>
    </row>
    <row r="143" spans="1:7">
      <c r="A143" s="9" t="s"/>
      <c r="B143" s="21" t="s"/>
      <c r="C143" s="20" t="s">
        <v>103</v>
      </c>
      <c r="D143" s="20">
        <v>820</v>
      </c>
      <c r="E143" s="20">
        <v>5</v>
      </c>
      <c r="F143" s="31">
        <v>1006014</v>
      </c>
      <c r="G143" s="39" t="s">
        <v>194</v>
      </c>
    </row>
    <row r="144" spans="1:7">
      <c r="A144" s="9" t="s"/>
      <c r="B144" s="21" t="s"/>
      <c r="C144" s="20" t="s">
        <v>67</v>
      </c>
      <c r="D144" s="20">
        <v>500</v>
      </c>
      <c r="E144" s="20">
        <v>1</v>
      </c>
      <c r="F144" s="31">
        <v>1006013</v>
      </c>
      <c r="G144" s="39" t="s">
        <v>194</v>
      </c>
    </row>
    <row r="145" spans="1:7">
      <c r="A145" s="9" t="s"/>
      <c r="B145" s="21" t="s"/>
      <c r="C145" s="20" t="s">
        <v>111</v>
      </c>
      <c r="D145" s="20">
        <v>15000</v>
      </c>
      <c r="E145" s="20">
        <v>30</v>
      </c>
      <c r="F145" s="31">
        <v>1005009</v>
      </c>
      <c r="G145" s="39" t="s">
        <v>194</v>
      </c>
    </row>
    <row r="146" spans="1:7">
      <c r="A146" s="9" t="s"/>
      <c r="B146" s="21" t="s"/>
      <c r="C146" s="20" t="s">
        <v>112</v>
      </c>
      <c r="D146" s="20">
        <v>500</v>
      </c>
      <c r="E146" s="20">
        <v>30</v>
      </c>
      <c r="F146" s="31">
        <v>1001031</v>
      </c>
      <c r="G146" s="39" t="s">
        <v>194</v>
      </c>
    </row>
    <row r="147" spans="1:7">
      <c r="A147" s="9" t="s"/>
      <c r="B147" s="21" t="s"/>
      <c r="C147" s="20" t="s">
        <v>15</v>
      </c>
      <c r="D147" s="20">
        <v>400</v>
      </c>
      <c r="E147" s="20">
        <v>2</v>
      </c>
      <c r="F147" s="31">
        <v>1006022</v>
      </c>
      <c r="G147" s="39" t="s">
        <v>194</v>
      </c>
    </row>
    <row r="148" spans="1:7">
      <c r="A148" s="9" t="s"/>
      <c r="B148" s="21" t="s"/>
      <c r="C148" s="20" t="s">
        <v>49</v>
      </c>
      <c r="D148" s="9">
        <v>1000</v>
      </c>
      <c r="E148" s="20">
        <v>5</v>
      </c>
      <c r="F148" s="31">
        <v>1006028</v>
      </c>
      <c r="G148" s="39" t="s">
        <v>194</v>
      </c>
    </row>
    <row r="149" spans="1:7">
      <c r="A149" s="9" t="s"/>
      <c r="B149" s="22" t="s"/>
      <c r="C149" s="32" t="s">
        <v>56</v>
      </c>
      <c r="D149" s="20">
        <v>500</v>
      </c>
      <c r="E149" s="32">
        <v>50</v>
      </c>
      <c r="F149" s="42">
        <v>1003003</v>
      </c>
      <c r="G149" s="39" t="s">
        <v>194</v>
      </c>
    </row>
    <row r="150" spans="1:7">
      <c r="A150" s="9">
        <v>19</v>
      </c>
      <c r="B150" s="10" t="s">
        <v>114</v>
      </c>
      <c r="C150" s="9" t="s">
        <v>23</v>
      </c>
      <c r="D150" s="9">
        <v>500</v>
      </c>
      <c r="E150" s="11">
        <v>15</v>
      </c>
      <c r="F150" s="31">
        <v>1001005</v>
      </c>
      <c r="G150" s="39" t="s">
        <v>194</v>
      </c>
    </row>
    <row r="151" spans="1:7">
      <c r="A151" s="9" t="s"/>
      <c r="B151" s="10" t="s"/>
      <c r="C151" s="9" t="s">
        <v>39</v>
      </c>
      <c r="D151" s="9">
        <v>300</v>
      </c>
      <c r="E151" s="11">
        <v>1.2</v>
      </c>
      <c r="F151" s="31">
        <v>1001073</v>
      </c>
      <c r="G151" s="39" t="s">
        <v>194</v>
      </c>
    </row>
    <row r="152" spans="1:7">
      <c r="A152" s="9" t="s"/>
      <c r="B152" s="10" t="s"/>
      <c r="C152" s="9" t="s">
        <v>115</v>
      </c>
      <c r="D152" s="9">
        <v>500</v>
      </c>
      <c r="E152" s="11">
        <v>45</v>
      </c>
      <c r="F152" s="31">
        <v>1001076</v>
      </c>
      <c r="G152" s="39" t="s">
        <v>194</v>
      </c>
    </row>
    <row r="153" spans="1:7">
      <c r="A153" s="9" t="s"/>
      <c r="B153" s="10" t="s"/>
      <c r="C153" s="9" t="s">
        <v>15</v>
      </c>
      <c r="D153" s="9">
        <v>400</v>
      </c>
      <c r="E153" s="11">
        <v>1</v>
      </c>
      <c r="F153" s="31">
        <v>1006022</v>
      </c>
      <c r="G153" s="39" t="s">
        <v>194</v>
      </c>
    </row>
    <row r="154" spans="1:7">
      <c r="A154" s="9" t="s"/>
      <c r="B154" s="10" t="s"/>
      <c r="C154" s="9" t="s">
        <v>72</v>
      </c>
      <c r="D154" s="9">
        <v>300</v>
      </c>
      <c r="E154" s="11">
        <v>40</v>
      </c>
      <c r="F154" s="31">
        <v>1009003</v>
      </c>
      <c r="G154" s="39" t="s">
        <v>194</v>
      </c>
    </row>
    <row r="155" spans="1:7">
      <c r="A155" s="9" t="s"/>
      <c r="B155" s="10" t="s"/>
      <c r="C155" s="9" t="s">
        <v>10</v>
      </c>
      <c r="D155" s="9">
        <v>500</v>
      </c>
      <c r="E155" s="11">
        <v>240</v>
      </c>
      <c r="F155" s="31">
        <v>1001072</v>
      </c>
      <c r="G155" s="39" t="s">
        <v>194</v>
      </c>
    </row>
    <row r="156" spans="1:7">
      <c r="A156" s="9" t="s"/>
      <c r="B156" s="10" t="s"/>
      <c r="C156" s="9" t="s">
        <v>23</v>
      </c>
      <c r="D156" s="9">
        <v>500</v>
      </c>
      <c r="E156" s="11">
        <v>16</v>
      </c>
      <c r="F156" s="31">
        <v>1001005</v>
      </c>
      <c r="G156" s="39" t="s">
        <v>194</v>
      </c>
    </row>
    <row r="157" spans="1:7">
      <c r="A157" s="9" t="s"/>
      <c r="B157" s="10" t="s"/>
      <c r="C157" s="9" t="s">
        <v>116</v>
      </c>
      <c r="D157" s="9">
        <v>500</v>
      </c>
      <c r="E157" s="11">
        <v>13</v>
      </c>
      <c r="F157" s="31">
        <v>1006041</v>
      </c>
      <c r="G157" s="39" t="s">
        <v>194</v>
      </c>
    </row>
    <row r="158" spans="1:7">
      <c r="A158" s="9" t="s"/>
      <c r="B158" s="10" t="s"/>
      <c r="C158" s="9" t="s">
        <v>117</v>
      </c>
      <c r="D158" s="9">
        <v>3500</v>
      </c>
      <c r="E158" s="11">
        <v>85</v>
      </c>
      <c r="F158" s="31">
        <v>1005012</v>
      </c>
      <c r="G158" s="39" t="s">
        <v>194</v>
      </c>
    </row>
    <row r="159" spans="1:7">
      <c r="A159" s="9">
        <v>20</v>
      </c>
      <c r="B159" s="19" t="s">
        <v>118</v>
      </c>
      <c r="C159" s="20" t="s">
        <v>111</v>
      </c>
      <c r="D159" s="20">
        <v>15000</v>
      </c>
      <c r="E159" s="20">
        <v>40</v>
      </c>
      <c r="F159" s="31">
        <v>1005009</v>
      </c>
      <c r="G159" s="39" t="s">
        <v>194</v>
      </c>
    </row>
    <row r="160" spans="1:7">
      <c r="A160" s="9" t="s"/>
      <c r="B160" s="21" t="s"/>
      <c r="C160" s="20" t="s">
        <v>119</v>
      </c>
      <c r="D160" s="20">
        <v>500</v>
      </c>
      <c r="E160" s="20">
        <v>40</v>
      </c>
      <c r="F160" s="31">
        <v>1001109</v>
      </c>
      <c r="G160" s="39" t="s">
        <v>194</v>
      </c>
    </row>
    <row r="161" spans="1:7">
      <c r="A161" s="9" t="s"/>
      <c r="B161" s="21" t="s"/>
      <c r="C161" s="20" t="s">
        <v>106</v>
      </c>
      <c r="D161" s="20">
        <v>500</v>
      </c>
      <c r="E161" s="20">
        <v>40</v>
      </c>
      <c r="F161" s="31">
        <v>1001101</v>
      </c>
      <c r="G161" s="39" t="s">
        <v>194</v>
      </c>
    </row>
    <row r="162" spans="1:7">
      <c r="A162" s="9" t="s"/>
      <c r="B162" s="21" t="s"/>
      <c r="C162" s="20" t="s">
        <v>107</v>
      </c>
      <c r="D162" s="20">
        <v>500</v>
      </c>
      <c r="E162" s="20">
        <v>16</v>
      </c>
      <c r="F162" s="31">
        <v>1001001</v>
      </c>
      <c r="G162" s="39" t="s">
        <v>194</v>
      </c>
    </row>
    <row r="163" spans="1:7">
      <c r="A163" s="9" t="s"/>
      <c r="B163" s="21" t="s"/>
      <c r="C163" s="20" t="s">
        <v>115</v>
      </c>
      <c r="D163" s="20">
        <v>1000</v>
      </c>
      <c r="E163" s="20">
        <v>30</v>
      </c>
      <c r="F163" s="31">
        <v>1001076</v>
      </c>
      <c r="G163" s="39" t="s">
        <v>194</v>
      </c>
    </row>
    <row r="164" spans="1:7">
      <c r="A164" s="9" t="s"/>
      <c r="B164" s="21" t="s"/>
      <c r="C164" s="20" t="s">
        <v>112</v>
      </c>
      <c r="D164" s="20">
        <v>500</v>
      </c>
      <c r="E164" s="20">
        <v>15</v>
      </c>
      <c r="F164" s="31">
        <v>1001031</v>
      </c>
      <c r="G164" s="39" t="s">
        <v>194</v>
      </c>
    </row>
    <row r="165" spans="1:7">
      <c r="A165" s="9" t="s"/>
      <c r="B165" s="21" t="s"/>
      <c r="C165" s="9" t="s">
        <v>117</v>
      </c>
      <c r="D165" s="20" t="s"/>
      <c r="E165" s="20">
        <v>300</v>
      </c>
      <c r="F165" s="31">
        <v>1005012</v>
      </c>
      <c r="G165" s="39" t="s">
        <v>194</v>
      </c>
    </row>
    <row r="166" spans="1:7">
      <c r="A166" s="9" t="s"/>
      <c r="B166" s="21" t="s"/>
      <c r="C166" s="20" t="s">
        <v>120</v>
      </c>
      <c r="D166" s="20">
        <v>500</v>
      </c>
      <c r="E166" s="20">
        <v>30</v>
      </c>
      <c r="F166" s="31">
        <v>1003023</v>
      </c>
      <c r="G166" s="39" t="s">
        <v>194</v>
      </c>
    </row>
    <row r="167" spans="1:7">
      <c r="A167" s="9" t="s"/>
      <c r="B167" s="21" t="s"/>
      <c r="C167" s="20" t="s">
        <v>18</v>
      </c>
      <c r="D167" s="20">
        <v>2000</v>
      </c>
      <c r="E167" s="20">
        <v>1</v>
      </c>
      <c r="F167" s="31">
        <v>1006033</v>
      </c>
      <c r="G167" s="39" t="s">
        <v>194</v>
      </c>
    </row>
    <row r="168" spans="1:7">
      <c r="A168" s="9" t="s"/>
      <c r="B168" s="21" t="s"/>
      <c r="C168" s="20" t="s">
        <v>15</v>
      </c>
      <c r="D168" s="20">
        <v>400</v>
      </c>
      <c r="E168" s="20">
        <v>1</v>
      </c>
      <c r="F168" s="31">
        <v>1006022</v>
      </c>
      <c r="G168" s="39" t="s">
        <v>194</v>
      </c>
    </row>
    <row r="169" spans="1:7">
      <c r="A169" s="9" t="s"/>
      <c r="B169" s="22" t="s"/>
      <c r="C169" s="20" t="s">
        <v>49</v>
      </c>
      <c r="D169" s="20">
        <v>1000</v>
      </c>
      <c r="E169" s="20">
        <v>1</v>
      </c>
      <c r="F169" s="31">
        <v>1006028</v>
      </c>
      <c r="G169" s="39" t="s">
        <v>194</v>
      </c>
    </row>
    <row r="170" spans="1:7">
      <c r="A170" s="9">
        <v>21</v>
      </c>
      <c r="B170" s="19" t="s">
        <v>121</v>
      </c>
      <c r="C170" s="20" t="s">
        <v>122</v>
      </c>
      <c r="D170" s="20">
        <v>500</v>
      </c>
      <c r="E170" s="20">
        <v>287</v>
      </c>
      <c r="F170" s="31">
        <v>1001035</v>
      </c>
      <c r="G170" s="39" t="s">
        <v>194</v>
      </c>
    </row>
    <row r="171" spans="1:7">
      <c r="A171" s="9" t="s"/>
      <c r="B171" s="21" t="s"/>
      <c r="C171" s="13" t="s">
        <v>11</v>
      </c>
      <c r="D171" s="20">
        <v>500</v>
      </c>
      <c r="E171" s="20">
        <v>3.3</v>
      </c>
      <c r="F171" s="31">
        <v>1001025</v>
      </c>
      <c r="G171" s="39" t="s">
        <v>194</v>
      </c>
    </row>
    <row r="172" spans="1:7">
      <c r="A172" s="9" t="s"/>
      <c r="B172" s="21" t="s"/>
      <c r="C172" s="13" t="s">
        <v>23</v>
      </c>
      <c r="D172" s="9">
        <v>500</v>
      </c>
      <c r="E172" s="20">
        <v>1.5</v>
      </c>
      <c r="F172" s="31">
        <v>1001005</v>
      </c>
      <c r="G172" s="39" t="s">
        <v>194</v>
      </c>
    </row>
    <row r="173" spans="1:7">
      <c r="A173" s="9" t="s"/>
      <c r="B173" s="22" t="s"/>
      <c r="C173" s="20" t="s">
        <v>74</v>
      </c>
      <c r="D173" s="20">
        <v>480</v>
      </c>
      <c r="E173" s="20">
        <v>60</v>
      </c>
      <c r="F173" s="31">
        <v>1006045</v>
      </c>
      <c r="G173" s="39" t="s">
        <v>194</v>
      </c>
    </row>
    <row r="174" spans="1:7">
      <c r="A174" s="9">
        <v>22</v>
      </c>
      <c r="B174" s="19" t="s">
        <v>123</v>
      </c>
      <c r="C174" s="20" t="s">
        <v>124</v>
      </c>
      <c r="D174" s="20">
        <v>500</v>
      </c>
      <c r="E174" s="20" t="s">
        <v>125</v>
      </c>
      <c r="F174" s="31">
        <v>1001032</v>
      </c>
      <c r="G174" s="39" t="s">
        <v>194</v>
      </c>
    </row>
    <row r="175" spans="1:7">
      <c r="A175" s="9" t="s"/>
      <c r="B175" s="21" t="s"/>
      <c r="C175" s="20" t="s">
        <v>126</v>
      </c>
      <c r="D175" s="20">
        <v>500</v>
      </c>
      <c r="E175" s="20">
        <v>21</v>
      </c>
      <c r="F175" s="31">
        <v>1001057</v>
      </c>
      <c r="G175" s="39" t="s">
        <v>194</v>
      </c>
    </row>
    <row r="176" spans="1:7">
      <c r="A176" s="9" t="s"/>
      <c r="B176" s="21" t="s"/>
      <c r="C176" s="20" t="s">
        <v>34</v>
      </c>
      <c r="D176" s="20">
        <v>500</v>
      </c>
      <c r="E176" s="20">
        <v>3.5</v>
      </c>
      <c r="F176" s="31">
        <v>1001010</v>
      </c>
      <c r="G176" s="39" t="s">
        <v>194</v>
      </c>
    </row>
    <row r="177" spans="1:7">
      <c r="A177" s="9" t="s"/>
      <c r="B177" s="21" t="s"/>
      <c r="C177" s="20" t="s">
        <v>33</v>
      </c>
      <c r="D177" s="20">
        <v>500</v>
      </c>
      <c r="E177" s="20">
        <v>18</v>
      </c>
      <c r="F177" s="31">
        <v>1001013</v>
      </c>
      <c r="G177" s="39" t="s">
        <v>194</v>
      </c>
    </row>
    <row r="178" spans="1:7">
      <c r="A178" s="9" t="s"/>
      <c r="B178" s="21" t="s"/>
      <c r="C178" s="9" t="s">
        <v>99</v>
      </c>
      <c r="D178" s="20">
        <v>500</v>
      </c>
      <c r="E178" s="20">
        <v>11.4</v>
      </c>
      <c r="F178" s="31">
        <v>1001006</v>
      </c>
      <c r="G178" s="39" t="s">
        <v>194</v>
      </c>
    </row>
    <row r="179" spans="1:7">
      <c r="A179" s="9" t="s"/>
      <c r="B179" s="21" t="s"/>
      <c r="C179" s="20" t="s">
        <v>25</v>
      </c>
      <c r="D179" s="20">
        <v>500</v>
      </c>
      <c r="E179" s="20">
        <v>24</v>
      </c>
      <c r="F179" s="31">
        <v>1001016</v>
      </c>
      <c r="G179" s="39" t="s">
        <v>194</v>
      </c>
    </row>
    <row r="180" spans="1:7">
      <c r="A180" s="9" t="s"/>
      <c r="B180" s="21" t="s"/>
      <c r="C180" s="20" t="s">
        <v>127</v>
      </c>
      <c r="D180" s="20">
        <v>500</v>
      </c>
      <c r="E180" s="20">
        <v>43</v>
      </c>
      <c r="F180" s="31">
        <v>1002001</v>
      </c>
      <c r="G180" s="39" t="s">
        <v>194</v>
      </c>
    </row>
    <row r="181" spans="1:7">
      <c r="A181" s="9" t="s"/>
      <c r="B181" s="21" t="s"/>
      <c r="C181" s="20" t="s">
        <v>128</v>
      </c>
      <c r="D181" s="20">
        <v>500</v>
      </c>
      <c r="E181" s="20">
        <v>12</v>
      </c>
      <c r="F181" s="31">
        <v>1001021</v>
      </c>
      <c r="G181" s="39" t="s">
        <v>194</v>
      </c>
    </row>
    <row r="182" spans="1:7">
      <c r="A182" s="9" t="s"/>
      <c r="B182" s="21" t="s"/>
      <c r="C182" s="20" t="s">
        <v>24</v>
      </c>
      <c r="D182" s="20">
        <v>500</v>
      </c>
      <c r="E182" s="20">
        <v>3.5</v>
      </c>
      <c r="F182" s="31">
        <v>1001055</v>
      </c>
      <c r="G182" s="39" t="s">
        <v>194</v>
      </c>
    </row>
    <row r="183" spans="1:7">
      <c r="A183" s="9" t="s"/>
      <c r="B183" s="21" t="s"/>
      <c r="C183" s="20" t="s">
        <v>129</v>
      </c>
      <c r="D183" s="20">
        <v>500</v>
      </c>
      <c r="E183" s="20">
        <v>3.5</v>
      </c>
      <c r="F183" s="31">
        <v>1001068</v>
      </c>
      <c r="G183" s="39" t="s">
        <v>194</v>
      </c>
    </row>
    <row r="184" spans="1:7">
      <c r="A184" s="9" t="s"/>
      <c r="B184" s="21" t="s"/>
      <c r="C184" s="20" t="s">
        <v>39</v>
      </c>
      <c r="D184" s="20">
        <v>500</v>
      </c>
      <c r="E184" s="20">
        <v>1.7</v>
      </c>
      <c r="F184" s="31">
        <v>1001073</v>
      </c>
      <c r="G184" s="39" t="s">
        <v>194</v>
      </c>
    </row>
    <row r="185" spans="1:7">
      <c r="A185" s="9" t="s"/>
      <c r="B185" s="21" t="s"/>
      <c r="C185" s="20" t="s">
        <v>20</v>
      </c>
      <c r="D185" s="20">
        <v>500</v>
      </c>
      <c r="E185" s="20">
        <f>=3.4+3.6</f>
        <v>7</v>
      </c>
      <c r="F185" s="31">
        <v>1001075</v>
      </c>
      <c r="G185" s="39" t="s">
        <v>194</v>
      </c>
    </row>
    <row r="186" spans="1:7">
      <c r="A186" s="9" t="s"/>
      <c r="B186" s="21" t="s"/>
      <c r="C186" s="20" t="s">
        <v>33</v>
      </c>
      <c r="D186" s="20">
        <v>500</v>
      </c>
      <c r="E186" s="20">
        <v>1.7</v>
      </c>
      <c r="F186" s="31">
        <v>1001013</v>
      </c>
      <c r="G186" s="39" t="s">
        <v>194</v>
      </c>
    </row>
    <row r="187" spans="1:7">
      <c r="A187" s="9" t="s"/>
      <c r="B187" s="21" t="s"/>
      <c r="C187" s="20" t="s">
        <v>67</v>
      </c>
      <c r="D187" s="20">
        <v>500</v>
      </c>
      <c r="E187" s="20">
        <v>6.8</v>
      </c>
      <c r="F187" s="31">
        <v>1006013</v>
      </c>
      <c r="G187" s="39" t="s">
        <v>194</v>
      </c>
    </row>
    <row r="188" spans="1:7">
      <c r="A188" s="9" t="s"/>
      <c r="B188" s="21" t="s"/>
      <c r="C188" s="20" t="s">
        <v>30</v>
      </c>
      <c r="D188" s="20">
        <v>500</v>
      </c>
      <c r="E188" s="20">
        <v>12</v>
      </c>
      <c r="F188" s="31">
        <v>1006023</v>
      </c>
      <c r="G188" s="39" t="s">
        <v>194</v>
      </c>
    </row>
    <row r="189" spans="1:7">
      <c r="A189" s="9" t="s"/>
      <c r="B189" s="21" t="s"/>
      <c r="C189" s="20" t="s">
        <v>18</v>
      </c>
      <c r="D189" s="20">
        <v>2000</v>
      </c>
      <c r="E189" s="20">
        <v>0.68</v>
      </c>
      <c r="F189" s="31">
        <v>1006033</v>
      </c>
      <c r="G189" s="39" t="s">
        <v>194</v>
      </c>
    </row>
    <row r="190" spans="1:7">
      <c r="A190" s="9" t="s"/>
      <c r="B190" s="21" t="s"/>
      <c r="C190" s="20" t="s">
        <v>29</v>
      </c>
      <c r="D190" s="20">
        <v>500</v>
      </c>
      <c r="E190" s="20">
        <v>10.4</v>
      </c>
      <c r="F190" s="31">
        <v>1006044</v>
      </c>
      <c r="G190" s="39" t="s">
        <v>198</v>
      </c>
    </row>
    <row r="191" spans="1:7">
      <c r="A191" s="9" t="s"/>
      <c r="B191" s="21" t="s"/>
      <c r="C191" s="20" t="s">
        <v>28</v>
      </c>
      <c r="D191" s="20">
        <v>500</v>
      </c>
      <c r="E191" s="20">
        <v>63</v>
      </c>
      <c r="F191" s="31">
        <v>1001018</v>
      </c>
      <c r="G191" s="39" t="s">
        <v>194</v>
      </c>
    </row>
    <row r="192" spans="1:7">
      <c r="A192" s="9">
        <v>23</v>
      </c>
      <c r="B192" s="15" t="s">
        <v>130</v>
      </c>
      <c r="C192" s="13" t="s">
        <v>131</v>
      </c>
      <c r="D192" s="9">
        <v>500</v>
      </c>
      <c r="E192" s="11">
        <v>277</v>
      </c>
      <c r="F192" s="31">
        <v>1001056</v>
      </c>
      <c r="G192" s="39" t="s">
        <v>194</v>
      </c>
    </row>
    <row r="193" spans="1:7">
      <c r="A193" s="9" t="s"/>
      <c r="B193" s="16" t="s"/>
      <c r="C193" s="12" t="s">
        <v>12</v>
      </c>
      <c r="D193" s="9">
        <v>10000</v>
      </c>
      <c r="E193" s="11">
        <v>25</v>
      </c>
      <c r="F193" s="31">
        <v>1005004</v>
      </c>
      <c r="G193" s="39" t="s">
        <v>194</v>
      </c>
    </row>
    <row r="194" spans="1:7">
      <c r="A194" s="9" t="s"/>
      <c r="B194" s="16" t="s"/>
      <c r="C194" s="13" t="s">
        <v>15</v>
      </c>
      <c r="D194" s="9">
        <v>400</v>
      </c>
      <c r="E194" s="11">
        <v>1</v>
      </c>
      <c r="F194" s="31">
        <v>1006022</v>
      </c>
      <c r="G194" s="39" t="s">
        <v>194</v>
      </c>
    </row>
    <row r="195" spans="1:7">
      <c r="A195" s="9" t="s"/>
      <c r="B195" s="16" t="s"/>
      <c r="C195" s="13" t="s">
        <v>18</v>
      </c>
      <c r="D195" s="9">
        <v>2000</v>
      </c>
      <c r="E195" s="11">
        <v>1</v>
      </c>
      <c r="F195" s="31">
        <v>1006033</v>
      </c>
      <c r="G195" s="39" t="s">
        <v>194</v>
      </c>
    </row>
    <row r="196" spans="1:7">
      <c r="A196" s="9" t="s"/>
      <c r="B196" s="16" t="s"/>
      <c r="C196" s="13" t="s">
        <v>23</v>
      </c>
      <c r="D196" s="9">
        <v>500</v>
      </c>
      <c r="E196" s="11">
        <v>10.5</v>
      </c>
      <c r="F196" s="31">
        <v>1001005</v>
      </c>
      <c r="G196" s="39" t="s">
        <v>194</v>
      </c>
    </row>
    <row r="197" spans="1:7">
      <c r="A197" s="9" t="s"/>
      <c r="B197" s="17" t="s"/>
      <c r="C197" s="13" t="s">
        <v>49</v>
      </c>
      <c r="D197" s="9">
        <v>1000</v>
      </c>
      <c r="E197" s="11">
        <v>4</v>
      </c>
      <c r="F197" s="31">
        <v>1006028</v>
      </c>
      <c r="G197" s="39" t="s">
        <v>194</v>
      </c>
    </row>
    <row r="198" spans="1:7">
      <c r="A198" s="9">
        <v>25</v>
      </c>
      <c r="B198" s="23" t="s">
        <v>132</v>
      </c>
      <c r="C198" s="20" t="s">
        <v>133</v>
      </c>
      <c r="D198" s="20">
        <v>500</v>
      </c>
      <c r="E198" s="20">
        <f>=45*2</f>
        <v>90</v>
      </c>
      <c r="F198" s="31">
        <v>1006067</v>
      </c>
      <c r="G198" s="39" t="s">
        <v>194</v>
      </c>
    </row>
    <row r="199" spans="1:7">
      <c r="A199" s="9" t="s"/>
      <c r="B199" s="23" t="s"/>
      <c r="C199" s="20" t="s">
        <v>134</v>
      </c>
      <c r="D199" s="20">
        <v>500</v>
      </c>
      <c r="E199" s="20">
        <f>=4.5*2</f>
        <v>9</v>
      </c>
      <c r="F199" s="31">
        <v>1002004</v>
      </c>
      <c r="G199" s="39" t="s">
        <v>194</v>
      </c>
    </row>
    <row r="200" spans="1:7">
      <c r="A200" s="9" t="s"/>
      <c r="B200" s="23" t="s"/>
      <c r="C200" s="20" t="s">
        <v>23</v>
      </c>
      <c r="D200" s="20">
        <v>500</v>
      </c>
      <c r="E200" s="20">
        <f>=2.1*2</f>
        <v>4.2</v>
      </c>
      <c r="F200" s="31">
        <v>1001005</v>
      </c>
      <c r="G200" s="39" t="s">
        <v>194</v>
      </c>
    </row>
    <row r="201" spans="1:7">
      <c r="A201" s="9" t="s"/>
      <c r="B201" s="23" t="s"/>
      <c r="C201" s="12" t="s">
        <v>17</v>
      </c>
      <c r="D201" s="20">
        <v>500</v>
      </c>
      <c r="E201" s="20">
        <f>=1.5*2</f>
        <v>3</v>
      </c>
      <c r="F201" s="31">
        <v>1001002</v>
      </c>
      <c r="G201" s="39" t="s">
        <v>194</v>
      </c>
    </row>
    <row r="202" spans="1:7">
      <c r="A202" s="9" t="s"/>
      <c r="B202" s="23" t="s"/>
      <c r="C202" s="20" t="s">
        <v>24</v>
      </c>
      <c r="D202" s="20">
        <v>500</v>
      </c>
      <c r="E202" s="20">
        <f>=0.9*2</f>
        <v>1.8</v>
      </c>
      <c r="F202" s="31">
        <v>1001055</v>
      </c>
      <c r="G202" s="39" t="s">
        <v>194</v>
      </c>
    </row>
    <row r="203" spans="1:7">
      <c r="A203" s="9" t="s"/>
      <c r="B203" s="23" t="s"/>
      <c r="C203" s="20" t="s">
        <v>15</v>
      </c>
      <c r="D203" s="20">
        <v>400</v>
      </c>
      <c r="E203" s="20">
        <f>=0.9*2</f>
        <v>1.8</v>
      </c>
      <c r="F203" s="31">
        <v>1006022</v>
      </c>
      <c r="G203" s="39" t="s">
        <v>194</v>
      </c>
    </row>
    <row r="204" spans="1:7">
      <c r="A204" s="9" t="s"/>
      <c r="B204" s="23" t="s"/>
      <c r="C204" s="20" t="s">
        <v>14</v>
      </c>
      <c r="D204" s="20">
        <v>6000</v>
      </c>
      <c r="E204" s="20">
        <f>=1.8*2</f>
        <v>3.6</v>
      </c>
      <c r="F204" s="31">
        <v>1006030</v>
      </c>
      <c r="G204" s="39" t="s">
        <v>194</v>
      </c>
    </row>
    <row r="205" spans="1:7">
      <c r="A205" s="9" t="s"/>
      <c r="B205" s="23" t="s"/>
      <c r="C205" s="20" t="s">
        <v>18</v>
      </c>
      <c r="D205" s="20">
        <v>2000</v>
      </c>
      <c r="E205" s="20">
        <f>=0.3*2</f>
        <v>0.6</v>
      </c>
      <c r="F205" s="31">
        <v>1006033</v>
      </c>
      <c r="G205" s="39" t="s">
        <v>194</v>
      </c>
    </row>
    <row r="206" spans="1:7">
      <c r="A206" s="9" t="s"/>
      <c r="B206" s="23" t="s"/>
      <c r="C206" s="20" t="s">
        <v>16</v>
      </c>
      <c r="D206" s="20">
        <v>500</v>
      </c>
      <c r="E206" s="20">
        <f>=0.6*2</f>
        <v>1.2</v>
      </c>
      <c r="F206" s="31">
        <v>1006009</v>
      </c>
      <c r="G206" s="39" t="s">
        <v>194</v>
      </c>
    </row>
    <row r="207" spans="1:7">
      <c r="A207" s="9" t="s"/>
      <c r="B207" s="23" t="s"/>
      <c r="C207" s="13" t="s">
        <v>12</v>
      </c>
      <c r="D207" s="20">
        <v>10000</v>
      </c>
      <c r="E207" s="20">
        <f>=20*2</f>
        <v>40</v>
      </c>
      <c r="F207" s="31">
        <v>1005004</v>
      </c>
      <c r="G207" s="39" t="s">
        <v>194</v>
      </c>
    </row>
    <row r="208" spans="1:7">
      <c r="A208" s="9" t="s"/>
      <c r="B208" s="23" t="s"/>
      <c r="C208" s="20" t="s">
        <v>35</v>
      </c>
      <c r="D208" s="20">
        <v>500</v>
      </c>
      <c r="E208" s="20">
        <f>=0.9*2</f>
        <v>1.8</v>
      </c>
      <c r="F208" s="31">
        <v>1001045</v>
      </c>
      <c r="G208" s="39" t="s">
        <v>194</v>
      </c>
    </row>
    <row r="209" spans="1:7">
      <c r="A209" s="9" t="s"/>
      <c r="B209" s="23" t="s"/>
      <c r="C209" s="20" t="s">
        <v>34</v>
      </c>
      <c r="D209" s="20">
        <v>500</v>
      </c>
      <c r="E209" s="20">
        <f>=0.9*2</f>
        <v>1.8</v>
      </c>
      <c r="F209" s="31">
        <v>1001010</v>
      </c>
      <c r="G209" s="39" t="s">
        <v>194</v>
      </c>
    </row>
    <row r="210" spans="1:7">
      <c r="A210" s="9" t="s"/>
      <c r="B210" s="23" t="s"/>
      <c r="C210" s="20" t="s">
        <v>135</v>
      </c>
      <c r="D210" s="20">
        <v>2500</v>
      </c>
      <c r="E210" s="20">
        <f>=21.42*2</f>
        <v>42.84</v>
      </c>
      <c r="F210" s="31">
        <v>1006068</v>
      </c>
      <c r="G210" s="39" t="s">
        <v>194</v>
      </c>
    </row>
    <row r="211" spans="1:7">
      <c r="A211" s="9" t="s"/>
      <c r="B211" s="23" t="s"/>
      <c r="C211" s="20" t="s">
        <v>10</v>
      </c>
      <c r="D211" s="20">
        <v>500</v>
      </c>
      <c r="E211" s="20">
        <f>=82.5*2</f>
        <v>165</v>
      </c>
      <c r="F211" s="31">
        <v>1001072</v>
      </c>
      <c r="G211" s="39" t="s">
        <v>194</v>
      </c>
    </row>
    <row r="212" spans="1:7">
      <c r="A212" s="9" t="s"/>
      <c r="B212" s="23" t="s"/>
      <c r="C212" s="20" t="s">
        <v>53</v>
      </c>
      <c r="D212" s="20">
        <v>500</v>
      </c>
      <c r="E212" s="20">
        <v>10</v>
      </c>
      <c r="F212" s="31">
        <v>1006084</v>
      </c>
      <c r="G212" s="39" t="s">
        <v>194</v>
      </c>
    </row>
    <row r="213" spans="1:7">
      <c r="A213" s="9">
        <v>26</v>
      </c>
      <c r="B213" s="19" t="s">
        <v>136</v>
      </c>
      <c r="C213" s="20" t="s">
        <v>137</v>
      </c>
      <c r="D213" s="20">
        <v>500</v>
      </c>
      <c r="E213" s="20">
        <v>10</v>
      </c>
      <c r="F213" s="31">
        <v>1006085</v>
      </c>
      <c r="G213" s="39" t="s">
        <v>194</v>
      </c>
    </row>
    <row r="214" spans="1:7">
      <c r="A214" s="9" t="s"/>
      <c r="B214" s="21" t="s"/>
      <c r="C214" s="20" t="s">
        <v>9</v>
      </c>
      <c r="D214" s="20">
        <v>500</v>
      </c>
      <c r="E214" s="20">
        <v>90</v>
      </c>
      <c r="F214" s="31">
        <v>1003014</v>
      </c>
      <c r="G214" s="39" t="s">
        <v>194</v>
      </c>
    </row>
    <row r="215" spans="1:7">
      <c r="A215" s="9" t="s"/>
      <c r="B215" s="21" t="s"/>
      <c r="C215" s="20" t="s">
        <v>16</v>
      </c>
      <c r="D215" s="20">
        <v>500</v>
      </c>
      <c r="E215" s="20">
        <v>1.5</v>
      </c>
      <c r="F215" s="31">
        <v>1006009</v>
      </c>
      <c r="G215" s="39" t="s">
        <v>194</v>
      </c>
    </row>
    <row r="216" spans="1:7">
      <c r="A216" s="9" t="s"/>
      <c r="B216" s="21" t="s"/>
      <c r="C216" s="20" t="s">
        <v>17</v>
      </c>
      <c r="D216" s="20">
        <v>500</v>
      </c>
      <c r="E216" s="20">
        <v>5</v>
      </c>
      <c r="F216" s="31">
        <v>1001002</v>
      </c>
      <c r="G216" s="39" t="s">
        <v>194</v>
      </c>
    </row>
    <row r="217" spans="1:7">
      <c r="A217" s="9" t="s"/>
      <c r="B217" s="21" t="s"/>
      <c r="C217" s="20" t="s">
        <v>138</v>
      </c>
      <c r="D217" s="20">
        <v>500</v>
      </c>
      <c r="E217" s="20">
        <v>4</v>
      </c>
      <c r="F217" s="31">
        <v>1001004</v>
      </c>
      <c r="G217" s="39" t="s">
        <v>194</v>
      </c>
    </row>
    <row r="218" spans="1:7">
      <c r="A218" s="9" t="s"/>
      <c r="B218" s="21" t="s"/>
      <c r="C218" s="20" t="s">
        <v>60</v>
      </c>
      <c r="D218" s="20">
        <v>25000</v>
      </c>
      <c r="E218" s="20">
        <v>100</v>
      </c>
      <c r="F218" s="31">
        <v>1005001</v>
      </c>
      <c r="G218" s="39" t="s">
        <v>194</v>
      </c>
    </row>
    <row r="219" spans="1:7">
      <c r="A219" s="9" t="s"/>
      <c r="B219" s="21" t="s"/>
      <c r="C219" s="20" t="s">
        <v>15</v>
      </c>
      <c r="D219" s="20">
        <v>400</v>
      </c>
      <c r="E219" s="20">
        <v>1</v>
      </c>
      <c r="F219" s="31">
        <v>1006022</v>
      </c>
      <c r="G219" s="39" t="s">
        <v>194</v>
      </c>
    </row>
    <row r="220" spans="1:7">
      <c r="A220" s="9" t="s"/>
      <c r="B220" s="21" t="s"/>
      <c r="C220" s="20" t="s">
        <v>49</v>
      </c>
      <c r="D220" s="20">
        <v>1000</v>
      </c>
      <c r="E220" s="20">
        <v>2</v>
      </c>
      <c r="F220" s="31">
        <v>1006028</v>
      </c>
      <c r="G220" s="39" t="s">
        <v>194</v>
      </c>
    </row>
    <row r="221" spans="1:7">
      <c r="A221" s="9" t="s"/>
      <c r="B221" s="21" t="s"/>
      <c r="C221" s="20" t="s">
        <v>139</v>
      </c>
      <c r="D221" s="20">
        <v>1000</v>
      </c>
      <c r="E221" s="20">
        <v>50</v>
      </c>
      <c r="F221" s="31">
        <v>1006069</v>
      </c>
      <c r="G221" s="39" t="s">
        <v>198</v>
      </c>
    </row>
    <row r="222" spans="1:7">
      <c r="A222" s="9" t="s"/>
      <c r="B222" s="22" t="s"/>
      <c r="C222" s="20" t="s">
        <v>36</v>
      </c>
      <c r="D222" s="20">
        <v>500</v>
      </c>
      <c r="E222" s="20">
        <v>10</v>
      </c>
      <c r="F222" s="31">
        <v>1001009</v>
      </c>
      <c r="G222" s="39" t="s">
        <v>194</v>
      </c>
    </row>
    <row r="223" spans="1:7">
      <c r="A223" s="9">
        <v>27</v>
      </c>
      <c r="B223" s="10" t="s">
        <v>140</v>
      </c>
      <c r="C223" s="13" t="s">
        <v>12</v>
      </c>
      <c r="D223" s="9">
        <v>10000</v>
      </c>
      <c r="E223" s="11">
        <v>30</v>
      </c>
      <c r="F223" s="31">
        <v>1005004</v>
      </c>
      <c r="G223" s="39" t="s">
        <v>194</v>
      </c>
    </row>
    <row r="224" spans="1:7">
      <c r="A224" s="9" t="s"/>
      <c r="B224" s="10" t="s"/>
      <c r="C224" s="9" t="s">
        <v>107</v>
      </c>
      <c r="D224" s="9">
        <v>500</v>
      </c>
      <c r="E224" s="11">
        <v>38</v>
      </c>
      <c r="F224" s="31">
        <v>1001001</v>
      </c>
      <c r="G224" s="39" t="s">
        <v>194</v>
      </c>
    </row>
    <row r="225" spans="1:7">
      <c r="A225" s="9" t="s"/>
      <c r="B225" s="10" t="s"/>
      <c r="C225" s="9" t="s">
        <v>120</v>
      </c>
      <c r="D225" s="9">
        <v>300</v>
      </c>
      <c r="E225" s="11">
        <v>25</v>
      </c>
      <c r="F225" s="31">
        <v>1003023</v>
      </c>
      <c r="G225" s="39" t="s">
        <v>194</v>
      </c>
    </row>
    <row r="226" spans="1:7">
      <c r="A226" s="9" t="s"/>
      <c r="B226" s="10" t="s"/>
      <c r="C226" s="9" t="s">
        <v>106</v>
      </c>
      <c r="D226" s="9">
        <v>500</v>
      </c>
      <c r="E226" s="11">
        <v>24</v>
      </c>
      <c r="F226" s="31">
        <v>1001101</v>
      </c>
      <c r="G226" s="39" t="s">
        <v>194</v>
      </c>
    </row>
    <row r="227" spans="1:7">
      <c r="A227" s="9" t="s"/>
      <c r="B227" s="10" t="s"/>
      <c r="C227" s="9" t="s">
        <v>99</v>
      </c>
      <c r="D227" s="9">
        <v>500</v>
      </c>
      <c r="E227" s="11">
        <v>36</v>
      </c>
      <c r="F227" s="31">
        <v>1001006</v>
      </c>
      <c r="G227" s="39" t="s">
        <v>194</v>
      </c>
    </row>
    <row r="228" spans="1:7">
      <c r="A228" s="9" t="s"/>
      <c r="B228" s="10" t="s"/>
      <c r="C228" s="9" t="s">
        <v>112</v>
      </c>
      <c r="D228" s="9">
        <v>500</v>
      </c>
      <c r="E228" s="11">
        <v>12</v>
      </c>
      <c r="F228" s="31">
        <v>1001031</v>
      </c>
      <c r="G228" s="39" t="s">
        <v>194</v>
      </c>
    </row>
    <row r="229" spans="1:7">
      <c r="A229" s="9" t="s"/>
      <c r="B229" s="10" t="s"/>
      <c r="C229" s="9" t="s">
        <v>141</v>
      </c>
      <c r="D229" s="9">
        <v>280</v>
      </c>
      <c r="E229" s="11">
        <v>5</v>
      </c>
      <c r="F229" s="31">
        <v>1006034</v>
      </c>
      <c r="G229" s="39" t="s">
        <v>194</v>
      </c>
    </row>
    <row r="230" spans="1:7">
      <c r="A230" s="9" t="s"/>
      <c r="B230" s="10" t="s"/>
      <c r="C230" s="9" t="s">
        <v>116</v>
      </c>
      <c r="D230" s="9">
        <v>500</v>
      </c>
      <c r="E230" s="11">
        <v>13</v>
      </c>
      <c r="F230" s="31">
        <v>1006041</v>
      </c>
      <c r="G230" s="39" t="s">
        <v>194</v>
      </c>
    </row>
    <row r="231" spans="1:7">
      <c r="A231" s="9" t="s"/>
      <c r="B231" s="10" t="s"/>
      <c r="C231" s="9" t="s">
        <v>117</v>
      </c>
      <c r="D231" s="9" t="s"/>
      <c r="E231" s="11">
        <v>150</v>
      </c>
      <c r="F231" s="31">
        <v>1005012</v>
      </c>
      <c r="G231" s="39" t="s">
        <v>194</v>
      </c>
    </row>
    <row r="232" spans="1:7">
      <c r="A232" s="9">
        <v>28</v>
      </c>
      <c r="B232" s="23" t="s">
        <v>142</v>
      </c>
      <c r="C232" s="20" t="s">
        <v>133</v>
      </c>
      <c r="D232" s="20">
        <v>500</v>
      </c>
      <c r="E232" s="20">
        <v>500</v>
      </c>
      <c r="F232" s="31">
        <v>1006067</v>
      </c>
      <c r="G232" s="39" t="s">
        <v>194</v>
      </c>
    </row>
    <row r="233" spans="1:7">
      <c r="A233" s="9" t="s"/>
      <c r="B233" s="23" t="s"/>
      <c r="C233" s="20" t="s">
        <v>134</v>
      </c>
      <c r="D233" s="20">
        <v>500</v>
      </c>
      <c r="E233" s="20">
        <v>50</v>
      </c>
      <c r="F233" s="31">
        <v>1002004</v>
      </c>
      <c r="G233" s="39" t="s">
        <v>194</v>
      </c>
    </row>
    <row r="234" spans="1:7">
      <c r="A234" s="9" t="s"/>
      <c r="B234" s="23" t="s"/>
      <c r="C234" s="9" t="s">
        <v>23</v>
      </c>
      <c r="D234" s="20">
        <v>500</v>
      </c>
      <c r="E234" s="20">
        <v>20</v>
      </c>
      <c r="F234" s="31">
        <v>1001005</v>
      </c>
      <c r="G234" s="39" t="s">
        <v>194</v>
      </c>
    </row>
    <row r="235" spans="1:7">
      <c r="A235" s="9" t="s"/>
      <c r="B235" s="23" t="s"/>
      <c r="C235" s="20" t="s">
        <v>24</v>
      </c>
      <c r="D235" s="20">
        <v>500</v>
      </c>
      <c r="E235" s="20">
        <v>10</v>
      </c>
      <c r="F235" s="31">
        <v>1001055</v>
      </c>
      <c r="G235" s="39" t="s">
        <v>194</v>
      </c>
    </row>
    <row r="236" spans="1:7">
      <c r="A236" s="9" t="s"/>
      <c r="B236" s="23" t="s"/>
      <c r="C236" s="20" t="s">
        <v>15</v>
      </c>
      <c r="D236" s="20">
        <v>400</v>
      </c>
      <c r="E236" s="20">
        <v>8</v>
      </c>
      <c r="F236" s="31">
        <v>1006022</v>
      </c>
      <c r="G236" s="39" t="s">
        <v>194</v>
      </c>
    </row>
    <row r="237" spans="1:7">
      <c r="A237" s="9" t="s"/>
      <c r="B237" s="23" t="s"/>
      <c r="C237" s="20" t="s">
        <v>14</v>
      </c>
      <c r="D237" s="20">
        <v>6000</v>
      </c>
      <c r="E237" s="20">
        <v>20</v>
      </c>
      <c r="F237" s="31">
        <v>1006030</v>
      </c>
      <c r="G237" s="39" t="s">
        <v>194</v>
      </c>
    </row>
    <row r="238" spans="1:7">
      <c r="A238" s="9" t="s"/>
      <c r="B238" s="23" t="s"/>
      <c r="C238" s="20" t="s">
        <v>16</v>
      </c>
      <c r="D238" s="20">
        <v>500</v>
      </c>
      <c r="E238" s="20">
        <v>8</v>
      </c>
      <c r="F238" s="31">
        <v>1006009</v>
      </c>
      <c r="G238" s="39" t="s">
        <v>194</v>
      </c>
    </row>
    <row r="239" spans="1:7">
      <c r="A239" s="9" t="s"/>
      <c r="B239" s="23" t="s"/>
      <c r="C239" s="13" t="s">
        <v>12</v>
      </c>
      <c r="D239" s="20">
        <v>10000</v>
      </c>
      <c r="E239" s="20">
        <v>50</v>
      </c>
      <c r="F239" s="31">
        <v>1005004</v>
      </c>
      <c r="G239" s="39" t="s">
        <v>194</v>
      </c>
    </row>
    <row r="240" spans="1:7">
      <c r="A240" s="9" t="s"/>
      <c r="B240" s="23" t="s"/>
      <c r="C240" s="20" t="s">
        <v>35</v>
      </c>
      <c r="D240" s="20">
        <v>500</v>
      </c>
      <c r="E240" s="20">
        <v>10</v>
      </c>
      <c r="F240" s="31">
        <v>1001045</v>
      </c>
      <c r="G240" s="39" t="s">
        <v>194</v>
      </c>
    </row>
    <row r="241" spans="1:7">
      <c r="A241" s="9" t="s"/>
      <c r="B241" s="23" t="s"/>
      <c r="C241" s="20" t="s">
        <v>34</v>
      </c>
      <c r="D241" s="20">
        <v>500</v>
      </c>
      <c r="E241" s="20">
        <v>10</v>
      </c>
      <c r="F241" s="31">
        <v>1001010</v>
      </c>
      <c r="G241" s="39" t="s">
        <v>194</v>
      </c>
    </row>
    <row r="242" spans="1:7">
      <c r="A242" s="9">
        <v>29</v>
      </c>
      <c r="B242" s="19" t="s">
        <v>143</v>
      </c>
      <c r="C242" s="20" t="s">
        <v>144</v>
      </c>
      <c r="D242" s="20" t="s">
        <v>145</v>
      </c>
      <c r="E242" s="20">
        <v>1</v>
      </c>
      <c r="F242" s="31">
        <v>1009028</v>
      </c>
      <c r="G242" s="39" t="s">
        <v>199</v>
      </c>
    </row>
    <row r="243" spans="1:7">
      <c r="A243" s="9" t="s"/>
      <c r="B243" s="21" t="s"/>
      <c r="C243" s="20" t="s">
        <v>133</v>
      </c>
      <c r="D243" s="20" t="s"/>
      <c r="E243" s="20">
        <v>60</v>
      </c>
      <c r="F243" s="31">
        <v>1006067</v>
      </c>
      <c r="G243" s="39" t="s">
        <v>194</v>
      </c>
    </row>
    <row r="244" spans="1:7">
      <c r="A244" s="9" t="s"/>
      <c r="B244" s="21" t="s"/>
      <c r="C244" s="20" t="s">
        <v>101</v>
      </c>
      <c r="D244" s="20">
        <v>500</v>
      </c>
      <c r="E244" s="20">
        <v>5</v>
      </c>
      <c r="F244" s="31">
        <v>1001069</v>
      </c>
      <c r="G244" s="39" t="s">
        <v>194</v>
      </c>
    </row>
    <row r="245" spans="1:7">
      <c r="A245" s="9" t="s"/>
      <c r="B245" s="21" t="s"/>
      <c r="C245" s="9" t="s">
        <v>99</v>
      </c>
      <c r="D245" s="20">
        <v>500</v>
      </c>
      <c r="E245" s="20">
        <v>20</v>
      </c>
      <c r="F245" s="31">
        <v>1001006</v>
      </c>
      <c r="G245" s="39" t="s">
        <v>194</v>
      </c>
    </row>
    <row r="246" spans="1:7">
      <c r="A246" s="9" t="s"/>
      <c r="B246" s="22" t="s"/>
      <c r="C246" s="20" t="s">
        <v>146</v>
      </c>
      <c r="D246" s="20">
        <v>2000</v>
      </c>
      <c r="E246" s="20">
        <v>40</v>
      </c>
      <c r="F246" s="31">
        <v>1009027</v>
      </c>
      <c r="G246" s="39" t="s">
        <v>194</v>
      </c>
    </row>
    <row r="247" spans="1:7">
      <c r="A247" s="9">
        <v>30</v>
      </c>
      <c r="B247" s="23" t="s">
        <v>141</v>
      </c>
      <c r="C247" s="20" t="s">
        <v>147</v>
      </c>
      <c r="D247" s="20">
        <v>800</v>
      </c>
      <c r="E247" s="20">
        <v>100</v>
      </c>
      <c r="F247" s="31">
        <v>1006089</v>
      </c>
      <c r="G247" s="39" t="s">
        <v>194</v>
      </c>
    </row>
    <row r="248" spans="1:7">
      <c r="A248" s="9" t="s"/>
      <c r="B248" s="23" t="s"/>
      <c r="C248" s="20" t="s">
        <v>15</v>
      </c>
      <c r="D248" s="20">
        <v>400</v>
      </c>
      <c r="E248" s="20">
        <v>2</v>
      </c>
      <c r="F248" s="31">
        <v>1006022</v>
      </c>
      <c r="G248" s="39" t="s">
        <v>194</v>
      </c>
    </row>
    <row r="249" spans="1:7">
      <c r="A249" s="9" t="s"/>
      <c r="B249" s="23" t="s"/>
      <c r="C249" s="20" t="s">
        <v>141</v>
      </c>
      <c r="D249" s="20">
        <v>280</v>
      </c>
      <c r="E249" s="20">
        <v>20</v>
      </c>
      <c r="F249" s="31">
        <v>1006034</v>
      </c>
      <c r="G249" s="39" t="s">
        <v>194</v>
      </c>
    </row>
    <row r="250" spans="1:7">
      <c r="A250" s="9" t="s"/>
      <c r="B250" s="23" t="s"/>
      <c r="C250" s="20" t="s">
        <v>148</v>
      </c>
      <c r="D250" s="20">
        <v>1000</v>
      </c>
      <c r="E250" s="20">
        <v>100</v>
      </c>
      <c r="F250" s="31">
        <v>1009018</v>
      </c>
      <c r="G250" s="39" t="s">
        <v>194</v>
      </c>
    </row>
    <row r="251" spans="1:7">
      <c r="A251" s="9">
        <v>31</v>
      </c>
      <c r="B251" s="19" t="s">
        <v>149</v>
      </c>
      <c r="C251" s="20" t="s">
        <v>144</v>
      </c>
      <c r="D251" s="32">
        <v>6</v>
      </c>
      <c r="E251" s="20">
        <v>1</v>
      </c>
      <c r="F251" s="31">
        <v>1009028</v>
      </c>
      <c r="G251" s="39" t="s">
        <v>199</v>
      </c>
    </row>
    <row r="252" spans="1:7">
      <c r="A252" s="9" t="s"/>
      <c r="B252" s="21" t="s"/>
      <c r="C252" s="20" t="s">
        <v>141</v>
      </c>
      <c r="D252" s="20" t="s"/>
      <c r="E252" s="20">
        <v>40</v>
      </c>
      <c r="F252" s="31">
        <v>1006034</v>
      </c>
      <c r="G252" s="39" t="s">
        <v>194</v>
      </c>
    </row>
    <row r="253" spans="1:7">
      <c r="A253" s="9" t="s"/>
      <c r="B253" s="21" t="s"/>
      <c r="C253" s="20" t="s">
        <v>101</v>
      </c>
      <c r="D253" s="20">
        <v>500</v>
      </c>
      <c r="E253" s="20">
        <v>5</v>
      </c>
      <c r="F253" s="31">
        <v>1001069</v>
      </c>
      <c r="G253" s="39" t="s">
        <v>194</v>
      </c>
    </row>
    <row r="254" spans="1:7">
      <c r="A254" s="9" t="s"/>
      <c r="B254" s="21" t="s"/>
      <c r="C254" s="9" t="s">
        <v>99</v>
      </c>
      <c r="D254" s="20">
        <v>500</v>
      </c>
      <c r="E254" s="20">
        <v>20</v>
      </c>
      <c r="F254" s="31">
        <v>1001006</v>
      </c>
      <c r="G254" s="39" t="s">
        <v>194</v>
      </c>
    </row>
    <row r="255" spans="1:7">
      <c r="A255" s="9" t="s"/>
      <c r="B255" s="21" t="s"/>
      <c r="C255" s="20" t="s">
        <v>150</v>
      </c>
      <c r="D255" s="20">
        <v>500</v>
      </c>
      <c r="E255" s="20">
        <v>40</v>
      </c>
      <c r="F255" s="31">
        <v>1001012</v>
      </c>
      <c r="G255" s="39" t="s">
        <v>194</v>
      </c>
    </row>
    <row r="256" spans="1:7">
      <c r="A256" s="9" t="s"/>
      <c r="B256" s="21" t="s"/>
      <c r="C256" s="20" t="s">
        <v>112</v>
      </c>
      <c r="D256" s="20">
        <v>500</v>
      </c>
      <c r="E256" s="20">
        <v>15</v>
      </c>
      <c r="F256" s="31">
        <v>1001031</v>
      </c>
      <c r="G256" s="39" t="s">
        <v>194</v>
      </c>
    </row>
    <row r="257" spans="1:7">
      <c r="A257" s="9" t="s"/>
      <c r="B257" s="21" t="s"/>
      <c r="C257" s="20" t="s">
        <v>106</v>
      </c>
      <c r="D257" s="20">
        <v>500</v>
      </c>
      <c r="E257" s="20">
        <v>30</v>
      </c>
      <c r="F257" s="31">
        <v>1001101</v>
      </c>
      <c r="G257" s="39" t="s">
        <v>194</v>
      </c>
    </row>
    <row r="258" spans="1:7">
      <c r="A258" s="9" t="s"/>
      <c r="B258" s="22" t="s"/>
      <c r="C258" s="20" t="s">
        <v>146</v>
      </c>
      <c r="D258" s="20">
        <v>2000</v>
      </c>
      <c r="E258" s="20">
        <v>40</v>
      </c>
      <c r="F258" s="31">
        <v>1009027</v>
      </c>
      <c r="G258" s="39" t="s">
        <v>194</v>
      </c>
    </row>
    <row r="259" spans="1:7">
      <c r="A259" s="9">
        <v>32</v>
      </c>
      <c r="B259" s="19" t="s">
        <v>151</v>
      </c>
      <c r="C259" s="20" t="s">
        <v>152</v>
      </c>
      <c r="D259" s="20">
        <v>1000</v>
      </c>
      <c r="E259" s="20">
        <v>8</v>
      </c>
      <c r="F259" s="31">
        <v>1007023</v>
      </c>
      <c r="G259" s="39" t="s">
        <v>194</v>
      </c>
    </row>
    <row r="260" spans="1:7">
      <c r="A260" s="9" t="s"/>
      <c r="B260" s="21" t="s"/>
      <c r="C260" s="13" t="s">
        <v>52</v>
      </c>
      <c r="D260" s="20">
        <v>320</v>
      </c>
      <c r="E260" s="20">
        <v>30</v>
      </c>
      <c r="F260" s="31">
        <v>1002002</v>
      </c>
      <c r="G260" s="39" t="s">
        <v>194</v>
      </c>
    </row>
    <row r="261" spans="1:7">
      <c r="A261" s="9" t="s"/>
      <c r="B261" s="21" t="s"/>
      <c r="C261" s="20" t="s">
        <v>86</v>
      </c>
      <c r="D261" s="20">
        <v>500</v>
      </c>
      <c r="E261" s="20">
        <f>=16/2</f>
        <v>8</v>
      </c>
      <c r="F261" s="31">
        <v>1009015</v>
      </c>
      <c r="G261" s="39" t="s">
        <v>194</v>
      </c>
    </row>
    <row r="262" spans="1:7">
      <c r="A262" s="9" t="s"/>
      <c r="B262" s="21" t="s"/>
      <c r="C262" s="20" t="s">
        <v>87</v>
      </c>
      <c r="D262" s="20">
        <v>1000</v>
      </c>
      <c r="E262" s="20">
        <f>=41.6/2</f>
        <v>20.8</v>
      </c>
      <c r="F262" s="31">
        <v>1007009</v>
      </c>
      <c r="G262" s="39" t="s">
        <v>194</v>
      </c>
    </row>
    <row r="263" spans="1:7">
      <c r="A263" s="9" t="s"/>
      <c r="B263" s="21" t="s"/>
      <c r="C263" s="20" t="s">
        <v>88</v>
      </c>
      <c r="D263" s="20">
        <v>250</v>
      </c>
      <c r="E263" s="20">
        <v>20.8</v>
      </c>
      <c r="F263" s="31">
        <v>1009019</v>
      </c>
      <c r="G263" s="39" t="s">
        <v>198</v>
      </c>
    </row>
    <row r="264" spans="1:7">
      <c r="A264" s="9" t="s"/>
      <c r="B264" s="21" t="s"/>
      <c r="C264" s="20" t="s">
        <v>89</v>
      </c>
      <c r="D264" s="20">
        <v>350</v>
      </c>
      <c r="E264" s="20">
        <v>4</v>
      </c>
      <c r="F264" s="31">
        <v>1006018</v>
      </c>
      <c r="G264" s="45" t="s">
        <v>198</v>
      </c>
    </row>
    <row r="265" spans="1:7">
      <c r="A265" s="9" t="s"/>
      <c r="B265" s="22" t="s"/>
      <c r="C265" s="20" t="s">
        <v>67</v>
      </c>
      <c r="D265" s="20">
        <v>500</v>
      </c>
      <c r="E265" s="20">
        <f>=1.6/2</f>
        <v>0.8</v>
      </c>
      <c r="F265" s="31">
        <v>1006013</v>
      </c>
      <c r="G265" s="39" t="s">
        <v>194</v>
      </c>
    </row>
    <row r="266" spans="1:7">
      <c r="A266" s="9">
        <v>33</v>
      </c>
      <c r="B266" s="19" t="s">
        <v>153</v>
      </c>
      <c r="C266" s="20" t="s">
        <v>152</v>
      </c>
      <c r="D266" s="20">
        <v>1000</v>
      </c>
      <c r="E266" s="20">
        <v>8</v>
      </c>
      <c r="F266" s="31">
        <v>1007023</v>
      </c>
      <c r="G266" s="39" t="s">
        <v>194</v>
      </c>
    </row>
    <row r="267" spans="1:7">
      <c r="A267" s="9" t="s"/>
      <c r="B267" s="21" t="s"/>
      <c r="C267" s="20" t="s">
        <v>78</v>
      </c>
      <c r="D267" s="20">
        <v>1200</v>
      </c>
      <c r="E267" s="20">
        <v>15</v>
      </c>
      <c r="F267" s="31">
        <v>1007006</v>
      </c>
      <c r="G267" s="39" t="s">
        <v>194</v>
      </c>
    </row>
    <row r="268" spans="1:7">
      <c r="A268" s="9" t="s"/>
      <c r="B268" s="21" t="s"/>
      <c r="C268" s="20" t="s">
        <v>86</v>
      </c>
      <c r="D268" s="20">
        <v>500</v>
      </c>
      <c r="E268" s="20">
        <f>=16/2</f>
        <v>8</v>
      </c>
      <c r="F268" s="31">
        <v>1009015</v>
      </c>
      <c r="G268" s="39" t="s">
        <v>194</v>
      </c>
    </row>
    <row r="269" spans="1:7">
      <c r="A269" s="9" t="s"/>
      <c r="B269" s="21" t="s"/>
      <c r="C269" s="20" t="s">
        <v>87</v>
      </c>
      <c r="D269" s="20">
        <v>1000</v>
      </c>
      <c r="E269" s="20">
        <f>=41.6/2</f>
        <v>20.8</v>
      </c>
      <c r="F269" s="31">
        <v>1007009</v>
      </c>
      <c r="G269" s="39" t="s">
        <v>194</v>
      </c>
    </row>
    <row r="270" spans="1:7">
      <c r="A270" s="9" t="s"/>
      <c r="B270" s="21" t="s"/>
      <c r="C270" s="20" t="s">
        <v>88</v>
      </c>
      <c r="D270" s="20">
        <v>250</v>
      </c>
      <c r="E270" s="20">
        <v>20.8</v>
      </c>
      <c r="F270" s="31">
        <v>1009019</v>
      </c>
      <c r="G270" s="39" t="s">
        <v>198</v>
      </c>
    </row>
    <row r="271" spans="1:7">
      <c r="A271" s="9" t="s"/>
      <c r="B271" s="21" t="s"/>
      <c r="C271" s="20" t="s">
        <v>89</v>
      </c>
      <c r="D271" s="20">
        <v>350</v>
      </c>
      <c r="E271" s="20">
        <v>4</v>
      </c>
      <c r="F271" s="31">
        <v>1006018</v>
      </c>
      <c r="G271" s="45" t="s">
        <v>198</v>
      </c>
    </row>
    <row r="272" spans="1:7">
      <c r="A272" s="9" t="s"/>
      <c r="B272" s="22" t="s"/>
      <c r="C272" s="20" t="s">
        <v>67</v>
      </c>
      <c r="D272" s="20">
        <v>500</v>
      </c>
      <c r="E272" s="20">
        <f>=1.6/2</f>
        <v>0.8</v>
      </c>
      <c r="F272" s="31">
        <v>1006013</v>
      </c>
      <c r="G272" s="39" t="s">
        <v>194</v>
      </c>
    </row>
    <row r="273" spans="1:7">
      <c r="A273" s="9">
        <v>34</v>
      </c>
      <c r="B273" s="24" t="s">
        <v>154</v>
      </c>
      <c r="C273" s="20" t="s">
        <v>154</v>
      </c>
      <c r="D273" s="20">
        <v>500</v>
      </c>
      <c r="E273" s="20">
        <v>5</v>
      </c>
      <c r="F273" s="31">
        <v>1007022</v>
      </c>
      <c r="G273" s="39" t="s">
        <v>194</v>
      </c>
    </row>
    <row r="274" spans="1:7">
      <c r="A274" s="9">
        <v>35</v>
      </c>
      <c r="B274" s="19" t="s">
        <v>155</v>
      </c>
      <c r="C274" s="20" t="s">
        <v>156</v>
      </c>
      <c r="D274" s="20" t="s">
        <v>157</v>
      </c>
      <c r="E274" s="20">
        <v>350</v>
      </c>
      <c r="F274" s="31">
        <v>1004003</v>
      </c>
      <c r="G274" s="39" t="s">
        <v>194</v>
      </c>
    </row>
    <row r="275" spans="1:7">
      <c r="A275" s="9" t="s"/>
      <c r="B275" s="21" t="s"/>
      <c r="C275" s="20" t="s">
        <v>54</v>
      </c>
      <c r="D275" s="20">
        <v>500</v>
      </c>
      <c r="E275" s="20">
        <v>14</v>
      </c>
      <c r="F275" s="31">
        <v>1001003</v>
      </c>
      <c r="G275" s="39" t="s">
        <v>194</v>
      </c>
    </row>
    <row r="276" spans="1:7">
      <c r="A276" s="9" t="s"/>
      <c r="B276" s="21" t="s"/>
      <c r="C276" s="20" t="s">
        <v>158</v>
      </c>
      <c r="D276" s="20">
        <v>500</v>
      </c>
      <c r="E276" s="20">
        <v>20</v>
      </c>
      <c r="F276" s="31">
        <v>1001099</v>
      </c>
      <c r="G276" s="39" t="s">
        <v>194</v>
      </c>
    </row>
    <row r="277" spans="1:7">
      <c r="A277" s="9" t="s"/>
      <c r="B277" s="21" t="s"/>
      <c r="C277" s="20" t="s">
        <v>39</v>
      </c>
      <c r="D277" s="20">
        <v>500</v>
      </c>
      <c r="E277" s="20">
        <v>9.5</v>
      </c>
      <c r="F277" s="31">
        <v>1001073</v>
      </c>
      <c r="G277" s="39" t="s">
        <v>194</v>
      </c>
    </row>
    <row r="278" spans="1:7">
      <c r="A278" s="9" t="s"/>
      <c r="B278" s="21" t="s"/>
      <c r="C278" s="20" t="s">
        <v>34</v>
      </c>
      <c r="D278" s="20">
        <v>500</v>
      </c>
      <c r="E278" s="20">
        <v>10</v>
      </c>
      <c r="F278" s="31">
        <v>1001010</v>
      </c>
      <c r="G278" s="39" t="s">
        <v>194</v>
      </c>
    </row>
    <row r="279" spans="1:7">
      <c r="A279" s="9" t="s"/>
      <c r="B279" s="21" t="s"/>
      <c r="C279" s="20" t="s">
        <v>159</v>
      </c>
      <c r="D279" s="20">
        <v>1000</v>
      </c>
      <c r="E279" s="20">
        <v>25</v>
      </c>
      <c r="F279" s="31">
        <v>1006049</v>
      </c>
      <c r="G279" s="39" t="s">
        <v>194</v>
      </c>
    </row>
    <row r="280" spans="1:7">
      <c r="A280" s="9" t="s"/>
      <c r="B280" s="21" t="s"/>
      <c r="C280" s="20" t="s">
        <v>20</v>
      </c>
      <c r="D280" s="20">
        <v>500</v>
      </c>
      <c r="E280" s="20">
        <v>9.6</v>
      </c>
      <c r="F280" s="31">
        <v>1001075</v>
      </c>
      <c r="G280" s="39" t="s">
        <v>194</v>
      </c>
    </row>
    <row r="281" spans="1:7">
      <c r="A281" s="9" t="s"/>
      <c r="B281" s="21" t="s"/>
      <c r="C281" s="20" t="s">
        <v>24</v>
      </c>
      <c r="D281" s="20">
        <v>500</v>
      </c>
      <c r="E281" s="20">
        <v>3.2</v>
      </c>
      <c r="F281" s="31">
        <v>1001055</v>
      </c>
      <c r="G281" s="39" t="s">
        <v>194</v>
      </c>
    </row>
    <row r="282" spans="1:7">
      <c r="A282" s="9" t="s"/>
      <c r="B282" s="21" t="s"/>
      <c r="C282" s="20" t="s">
        <v>35</v>
      </c>
      <c r="D282" s="20">
        <v>500</v>
      </c>
      <c r="E282" s="20">
        <v>8</v>
      </c>
      <c r="F282" s="31">
        <v>1001045</v>
      </c>
      <c r="G282" s="39" t="s">
        <v>194</v>
      </c>
    </row>
    <row r="283" spans="1:7">
      <c r="A283" s="9" t="s"/>
      <c r="B283" s="21" t="s"/>
      <c r="C283" s="20" t="s">
        <v>160</v>
      </c>
      <c r="D283" s="20">
        <v>500</v>
      </c>
      <c r="E283" s="20">
        <v>2</v>
      </c>
      <c r="F283" s="31">
        <v>1006001</v>
      </c>
      <c r="G283" s="39" t="s">
        <v>194</v>
      </c>
    </row>
    <row r="284" spans="1:7">
      <c r="A284" s="9" t="s"/>
      <c r="B284" s="21" t="s"/>
      <c r="C284" s="20" t="s">
        <v>161</v>
      </c>
      <c r="D284" s="20">
        <v>500</v>
      </c>
      <c r="E284" s="20">
        <v>2</v>
      </c>
      <c r="F284" s="31">
        <v>1006051</v>
      </c>
      <c r="G284" s="39" t="s">
        <v>194</v>
      </c>
    </row>
    <row r="285" spans="1:7">
      <c r="A285" s="9" t="s"/>
      <c r="B285" s="21" t="s"/>
      <c r="C285" s="20" t="s">
        <v>162</v>
      </c>
      <c r="D285" s="20">
        <v>500</v>
      </c>
      <c r="E285" s="20">
        <v>1</v>
      </c>
      <c r="F285" s="31">
        <v>1006002</v>
      </c>
      <c r="G285" s="39" t="s">
        <v>194</v>
      </c>
    </row>
    <row r="286" spans="1:7">
      <c r="A286" s="9" t="s"/>
      <c r="B286" s="21" t="s"/>
      <c r="C286" s="20" t="s">
        <v>163</v>
      </c>
      <c r="D286" s="20">
        <v>500</v>
      </c>
      <c r="E286" s="20">
        <v>5</v>
      </c>
      <c r="F286" s="31">
        <v>1006048</v>
      </c>
      <c r="G286" s="39" t="s">
        <v>194</v>
      </c>
    </row>
    <row r="287" spans="1:7" ht="13.9">
      <c r="A287" s="9" t="s"/>
      <c r="B287" s="21" t="s"/>
      <c r="C287" s="25" t="s">
        <v>15</v>
      </c>
      <c r="D287" s="20">
        <v>400</v>
      </c>
      <c r="E287" s="20">
        <v>1</v>
      </c>
      <c r="F287" s="31">
        <v>1006022</v>
      </c>
      <c r="G287" s="39" t="s">
        <v>194</v>
      </c>
    </row>
    <row r="288" spans="1:7">
      <c r="A288" s="9" t="s"/>
      <c r="B288" s="22" t="s"/>
      <c r="C288" s="13" t="s">
        <v>23</v>
      </c>
      <c r="D288" s="20">
        <v>500</v>
      </c>
      <c r="E288" s="20">
        <v>5</v>
      </c>
      <c r="F288" s="31">
        <v>1001005</v>
      </c>
      <c r="G288" s="39" t="s">
        <v>194</v>
      </c>
    </row>
    <row r="289" spans="1:7">
      <c r="A289" s="9">
        <v>36</v>
      </c>
      <c r="B289" s="19" t="s">
        <v>164</v>
      </c>
      <c r="C289" s="20" t="s">
        <v>165</v>
      </c>
      <c r="D289" s="20">
        <v>1000</v>
      </c>
      <c r="E289" s="20">
        <v>250</v>
      </c>
      <c r="F289" s="31">
        <v>1006059</v>
      </c>
      <c r="G289" s="39" t="s">
        <v>194</v>
      </c>
    </row>
    <row r="290" spans="1:7">
      <c r="A290" s="9" t="s"/>
      <c r="B290" s="21" t="s"/>
      <c r="C290" s="20" t="s">
        <v>166</v>
      </c>
      <c r="D290" s="20">
        <v>500</v>
      </c>
      <c r="E290" s="20">
        <v>35</v>
      </c>
      <c r="F290" s="31">
        <v>1006060</v>
      </c>
      <c r="G290" s="39" t="s">
        <v>194</v>
      </c>
    </row>
    <row r="291" spans="1:7">
      <c r="A291" s="9" t="s"/>
      <c r="B291" s="21" t="s"/>
      <c r="C291" s="20" t="s">
        <v>42</v>
      </c>
      <c r="D291" s="20">
        <v>480</v>
      </c>
      <c r="E291" s="20">
        <v>0.8</v>
      </c>
      <c r="F291" s="31">
        <v>1006050</v>
      </c>
      <c r="G291" s="39" t="s">
        <v>194</v>
      </c>
    </row>
    <row r="292" spans="1:7">
      <c r="A292" s="9" t="s"/>
      <c r="B292" s="21" t="s"/>
      <c r="C292" s="20" t="s">
        <v>167</v>
      </c>
      <c r="D292" s="20">
        <v>480</v>
      </c>
      <c r="E292" s="20">
        <v>1</v>
      </c>
      <c r="F292" s="31">
        <v>1006062</v>
      </c>
      <c r="G292" s="39" t="s">
        <v>198</v>
      </c>
    </row>
    <row r="293" spans="1:7">
      <c r="A293" s="9" t="s"/>
      <c r="B293" s="21" t="s"/>
      <c r="C293" s="20" t="s">
        <v>15</v>
      </c>
      <c r="D293" s="20">
        <v>400</v>
      </c>
      <c r="E293" s="20">
        <v>0.1</v>
      </c>
      <c r="F293" s="31">
        <v>1006022</v>
      </c>
      <c r="G293" s="39" t="s">
        <v>194</v>
      </c>
    </row>
    <row r="294" spans="1:7">
      <c r="A294" s="9" t="s"/>
      <c r="B294" s="21" t="s"/>
      <c r="C294" s="20" t="s">
        <v>18</v>
      </c>
      <c r="D294" s="20">
        <v>2000</v>
      </c>
      <c r="E294" s="20">
        <v>0.1</v>
      </c>
      <c r="F294" s="31">
        <v>1006033</v>
      </c>
      <c r="G294" s="39" t="s">
        <v>194</v>
      </c>
    </row>
    <row r="295" spans="1:7">
      <c r="A295" s="9" t="s"/>
      <c r="B295" s="21" t="s"/>
      <c r="C295" s="20" t="s">
        <v>23</v>
      </c>
      <c r="D295" s="20">
        <v>500</v>
      </c>
      <c r="E295" s="20">
        <v>3.1</v>
      </c>
      <c r="F295" s="31">
        <v>1001005</v>
      </c>
      <c r="G295" s="39" t="s">
        <v>194</v>
      </c>
    </row>
    <row r="296" spans="1:7">
      <c r="A296" s="9" t="s"/>
      <c r="B296" s="21" t="s"/>
      <c r="C296" s="20" t="s">
        <v>24</v>
      </c>
      <c r="D296" s="20">
        <v>500</v>
      </c>
      <c r="E296" s="20">
        <v>2.1</v>
      </c>
      <c r="F296" s="31">
        <v>1001055</v>
      </c>
      <c r="G296" s="39" t="s">
        <v>194</v>
      </c>
    </row>
    <row r="297" spans="1:7">
      <c r="A297" s="9" t="s"/>
      <c r="B297" s="21" t="s"/>
      <c r="C297" s="12" t="s">
        <v>12</v>
      </c>
      <c r="D297" s="20">
        <v>10000</v>
      </c>
      <c r="E297" s="20">
        <v>20</v>
      </c>
      <c r="F297" s="31">
        <v>1005004</v>
      </c>
      <c r="G297" s="39" t="s">
        <v>194</v>
      </c>
    </row>
    <row r="298" spans="1:7">
      <c r="A298" s="9" t="s"/>
      <c r="B298" s="21" t="s"/>
      <c r="C298" s="20" t="s">
        <v>108</v>
      </c>
      <c r="D298" s="20">
        <v>500</v>
      </c>
      <c r="E298" s="20">
        <v>2.1</v>
      </c>
      <c r="F298" s="31">
        <v>1006056</v>
      </c>
      <c r="G298" s="39" t="s">
        <v>194</v>
      </c>
    </row>
    <row r="299" spans="1:7">
      <c r="A299" s="9" t="s"/>
      <c r="B299" s="22" t="s"/>
      <c r="C299" s="20" t="s">
        <v>168</v>
      </c>
      <c r="D299" s="20">
        <v>500</v>
      </c>
      <c r="E299" s="20">
        <v>0.5</v>
      </c>
      <c r="F299" s="31">
        <v>1006063</v>
      </c>
      <c r="G299" s="39" t="s">
        <v>194</v>
      </c>
    </row>
    <row r="300" spans="1:7" ht="13.9">
      <c r="A300" s="9">
        <v>37</v>
      </c>
      <c r="B300" s="15" t="s">
        <v>169</v>
      </c>
      <c r="C300" s="14" t="s">
        <v>170</v>
      </c>
      <c r="D300" s="9">
        <v>500</v>
      </c>
      <c r="E300" s="11">
        <v>383</v>
      </c>
      <c r="F300" s="31">
        <v>1003004</v>
      </c>
      <c r="G300" s="39" t="s">
        <v>194</v>
      </c>
    </row>
    <row r="301" spans="1:7" ht="13.9">
      <c r="A301" s="9" t="s"/>
      <c r="B301" s="16" t="s"/>
      <c r="C301" s="14" t="s">
        <v>171</v>
      </c>
      <c r="D301" s="9">
        <v>500</v>
      </c>
      <c r="E301" s="11">
        <v>166</v>
      </c>
      <c r="F301" s="31">
        <v>1009010</v>
      </c>
      <c r="G301" s="39" t="s">
        <v>194</v>
      </c>
    </row>
    <row r="302" spans="1:7" ht="13.9">
      <c r="A302" s="9" t="s"/>
      <c r="B302" s="16" t="s"/>
      <c r="C302" s="14" t="s">
        <v>172</v>
      </c>
      <c r="D302" s="9">
        <v>5000</v>
      </c>
      <c r="E302" s="11">
        <v>171</v>
      </c>
      <c r="F302" s="31">
        <v>1006043</v>
      </c>
      <c r="G302" s="39" t="s">
        <v>194</v>
      </c>
    </row>
    <row r="303" spans="1:7" ht="13.9">
      <c r="A303" s="9" t="s"/>
      <c r="B303" s="16" t="s"/>
      <c r="C303" s="14" t="s">
        <v>108</v>
      </c>
      <c r="D303" s="9">
        <v>500</v>
      </c>
      <c r="E303" s="11">
        <v>4.2</v>
      </c>
      <c r="F303" s="31">
        <v>1006056</v>
      </c>
      <c r="G303" s="39" t="s">
        <v>194</v>
      </c>
    </row>
    <row r="304" spans="1:7" ht="13.9">
      <c r="A304" s="9" t="s"/>
      <c r="B304" s="16" t="s"/>
      <c r="C304" s="14" t="s">
        <v>19</v>
      </c>
      <c r="D304" s="9">
        <v>500</v>
      </c>
      <c r="E304" s="11">
        <v>10.4</v>
      </c>
      <c r="F304" s="31">
        <v>1006027</v>
      </c>
      <c r="G304" s="39" t="s">
        <v>194</v>
      </c>
    </row>
    <row r="305" spans="1:7">
      <c r="A305" s="9" t="s"/>
      <c r="B305" s="16" t="s"/>
      <c r="C305" s="20" t="s">
        <v>17</v>
      </c>
      <c r="D305" s="9">
        <v>500</v>
      </c>
      <c r="E305" s="11">
        <v>12</v>
      </c>
      <c r="F305" s="31">
        <v>1001002</v>
      </c>
      <c r="G305" s="39" t="s">
        <v>194</v>
      </c>
    </row>
    <row r="306" spans="1:7" ht="13.9">
      <c r="A306" s="9" t="s"/>
      <c r="B306" s="16" t="s"/>
      <c r="C306" s="14" t="s">
        <v>138</v>
      </c>
      <c r="D306" s="9">
        <v>500</v>
      </c>
      <c r="E306" s="11">
        <v>6.2</v>
      </c>
      <c r="F306" s="31">
        <v>1001004</v>
      </c>
      <c r="G306" s="39" t="s">
        <v>194</v>
      </c>
    </row>
    <row r="307" spans="1:7" ht="13.9">
      <c r="A307" s="9" t="s"/>
      <c r="B307" s="16" t="s"/>
      <c r="C307" s="14" t="s">
        <v>173</v>
      </c>
      <c r="D307" s="9">
        <v>500</v>
      </c>
      <c r="E307" s="11">
        <v>0.3</v>
      </c>
      <c r="F307" s="31">
        <v>1006003</v>
      </c>
      <c r="G307" s="39" t="s">
        <v>194</v>
      </c>
    </row>
    <row r="308" spans="1:7" ht="13.9">
      <c r="A308" s="9" t="s"/>
      <c r="B308" s="16" t="s"/>
      <c r="C308" s="14" t="s">
        <v>174</v>
      </c>
      <c r="D308" s="9">
        <v>500</v>
      </c>
      <c r="E308" s="11">
        <v>0.42</v>
      </c>
      <c r="F308" s="31">
        <v>1006010</v>
      </c>
      <c r="G308" s="39" t="s">
        <v>194</v>
      </c>
    </row>
    <row r="309" spans="1:7" ht="13.9">
      <c r="A309" s="9" t="s"/>
      <c r="B309" s="16" t="s"/>
      <c r="C309" s="14" t="s">
        <v>103</v>
      </c>
      <c r="D309" s="9">
        <v>820</v>
      </c>
      <c r="E309" s="11">
        <f>=6.31*2</f>
        <v>12.62</v>
      </c>
      <c r="F309" s="31">
        <v>1006014</v>
      </c>
      <c r="G309" s="39" t="s">
        <v>194</v>
      </c>
    </row>
    <row r="310" spans="1:7">
      <c r="A310" s="9" t="s"/>
      <c r="B310" s="16" t="s"/>
      <c r="C310" s="20" t="s">
        <v>16</v>
      </c>
      <c r="D310" s="9">
        <v>500</v>
      </c>
      <c r="E310" s="11">
        <v>1</v>
      </c>
      <c r="F310" s="31">
        <v>1006009</v>
      </c>
      <c r="G310" s="39" t="s">
        <v>194</v>
      </c>
    </row>
    <row r="311" spans="1:7" ht="13.9">
      <c r="A311" s="9" t="s"/>
      <c r="B311" s="16" t="s"/>
      <c r="C311" s="14" t="s">
        <v>34</v>
      </c>
      <c r="D311" s="9">
        <v>500</v>
      </c>
      <c r="E311" s="11">
        <v>2</v>
      </c>
      <c r="F311" s="31">
        <v>1001010</v>
      </c>
      <c r="G311" s="39" t="s">
        <v>194</v>
      </c>
    </row>
    <row r="312" spans="1:7">
      <c r="A312" s="9" t="s"/>
      <c r="B312" s="16" t="s"/>
      <c r="C312" s="12" t="s">
        <v>12</v>
      </c>
      <c r="D312" s="9">
        <v>10000</v>
      </c>
      <c r="E312" s="11">
        <v>50</v>
      </c>
      <c r="F312" s="31">
        <v>1005004</v>
      </c>
      <c r="G312" s="39" t="s">
        <v>194</v>
      </c>
    </row>
    <row r="313" spans="1:7">
      <c r="A313" s="9" t="s"/>
      <c r="B313" s="16" t="s"/>
      <c r="C313" s="9" t="s">
        <v>15</v>
      </c>
      <c r="D313" s="9">
        <v>400</v>
      </c>
      <c r="E313" s="11">
        <v>12.6</v>
      </c>
      <c r="F313" s="31">
        <v>1006022</v>
      </c>
      <c r="G313" s="39" t="s">
        <v>194</v>
      </c>
    </row>
    <row r="314" spans="1:7">
      <c r="A314" s="9" t="s"/>
      <c r="B314" s="16" t="s"/>
      <c r="C314" s="9" t="s">
        <v>49</v>
      </c>
      <c r="D314" s="9">
        <v>1000</v>
      </c>
      <c r="E314" s="11">
        <v>12</v>
      </c>
      <c r="F314" s="31">
        <v>1006028</v>
      </c>
      <c r="G314" s="39" t="s">
        <v>194</v>
      </c>
    </row>
    <row r="315" spans="1:7" ht="14.25">
      <c r="A315" s="9" t="s"/>
      <c r="B315" s="16" t="s"/>
      <c r="C315" s="26" t="s">
        <v>163</v>
      </c>
      <c r="D315" s="9">
        <v>500</v>
      </c>
      <c r="E315" s="11">
        <v>100</v>
      </c>
      <c r="F315" s="31">
        <v>1006048</v>
      </c>
      <c r="G315" s="39" t="s">
        <v>194</v>
      </c>
    </row>
    <row r="316" spans="1:7">
      <c r="A316" s="9" t="s"/>
      <c r="B316" s="16" t="s"/>
      <c r="C316" s="41" t="s">
        <v>56</v>
      </c>
      <c r="D316" s="9">
        <v>500</v>
      </c>
      <c r="E316" s="11">
        <v>50</v>
      </c>
      <c r="F316" s="42">
        <v>1003003</v>
      </c>
      <c r="G316" s="39" t="s">
        <v>194</v>
      </c>
    </row>
    <row r="317" spans="1:7">
      <c r="A317" s="9">
        <v>38</v>
      </c>
      <c r="B317" s="15" t="s">
        <v>175</v>
      </c>
      <c r="C317" s="13" t="s">
        <v>76</v>
      </c>
      <c r="D317" s="9">
        <v>1000</v>
      </c>
      <c r="E317" s="11">
        <v>200</v>
      </c>
      <c r="F317" s="31">
        <v>1007013</v>
      </c>
      <c r="G317" s="39" t="s">
        <v>198</v>
      </c>
    </row>
    <row r="318" spans="1:7">
      <c r="A318" s="9" t="s"/>
      <c r="B318" s="16" t="s"/>
      <c r="C318" s="13" t="s">
        <v>52</v>
      </c>
      <c r="D318" s="9">
        <v>320</v>
      </c>
      <c r="E318" s="11">
        <v>400</v>
      </c>
      <c r="F318" s="31">
        <v>1002002</v>
      </c>
      <c r="G318" s="39" t="s">
        <v>194</v>
      </c>
    </row>
    <row r="319" spans="1:7">
      <c r="A319" s="9" t="s"/>
      <c r="B319" s="16" t="s"/>
      <c r="C319" s="13" t="s">
        <v>77</v>
      </c>
      <c r="D319" s="9">
        <v>1000</v>
      </c>
      <c r="E319" s="11">
        <v>150</v>
      </c>
      <c r="F319" s="31">
        <v>1007004</v>
      </c>
      <c r="G319" s="39" t="s">
        <v>194</v>
      </c>
    </row>
    <row r="320" spans="1:7">
      <c r="A320" s="9" t="s"/>
      <c r="B320" s="17" t="s"/>
      <c r="C320" s="20" t="s">
        <v>176</v>
      </c>
      <c r="D320" s="20">
        <v>1900</v>
      </c>
      <c r="E320" s="20">
        <v>100</v>
      </c>
      <c r="F320" s="31">
        <v>1007005</v>
      </c>
      <c r="G320" s="39" t="s">
        <v>194</v>
      </c>
    </row>
    <row r="321" spans="1:7" ht="13.9">
      <c r="A321" s="9">
        <v>39</v>
      </c>
      <c r="B321" s="10" t="s">
        <v>177</v>
      </c>
      <c r="C321" s="14" t="s">
        <v>170</v>
      </c>
      <c r="D321" s="9">
        <v>500</v>
      </c>
      <c r="E321" s="11">
        <v>383</v>
      </c>
      <c r="F321" s="31">
        <v>1003004</v>
      </c>
      <c r="G321" s="39" t="s">
        <v>194</v>
      </c>
    </row>
    <row r="322" spans="1:7" ht="13.9">
      <c r="A322" s="9" t="s"/>
      <c r="B322" s="10" t="s"/>
      <c r="C322" s="14" t="s">
        <v>171</v>
      </c>
      <c r="D322" s="9">
        <v>500</v>
      </c>
      <c r="E322" s="11">
        <v>166</v>
      </c>
      <c r="F322" s="31">
        <v>1009010</v>
      </c>
      <c r="G322" s="39" t="s">
        <v>194</v>
      </c>
    </row>
    <row r="323" spans="1:7" ht="13.9">
      <c r="A323" s="9" t="s"/>
      <c r="B323" s="10" t="s"/>
      <c r="C323" s="14" t="s">
        <v>172</v>
      </c>
      <c r="D323" s="9">
        <v>5000</v>
      </c>
      <c r="E323" s="11">
        <v>171</v>
      </c>
      <c r="F323" s="31">
        <v>1006043</v>
      </c>
      <c r="G323" s="39" t="s">
        <v>194</v>
      </c>
    </row>
    <row r="324" spans="1:7" ht="13.9">
      <c r="A324" s="9" t="s"/>
      <c r="B324" s="10" t="s"/>
      <c r="C324" s="14" t="s">
        <v>19</v>
      </c>
      <c r="D324" s="9">
        <v>500</v>
      </c>
      <c r="E324" s="11">
        <v>10.4</v>
      </c>
      <c r="F324" s="31">
        <v>1006027</v>
      </c>
      <c r="G324" s="39" t="s">
        <v>194</v>
      </c>
    </row>
    <row r="325" spans="1:7">
      <c r="A325" s="9" t="s"/>
      <c r="B325" s="10" t="s"/>
      <c r="C325" s="20" t="s">
        <v>17</v>
      </c>
      <c r="D325" s="9">
        <v>500</v>
      </c>
      <c r="E325" s="11">
        <v>12</v>
      </c>
      <c r="F325" s="31">
        <v>1001002</v>
      </c>
      <c r="G325" s="39" t="s">
        <v>194</v>
      </c>
    </row>
    <row r="326" spans="1:7" ht="13.9">
      <c r="A326" s="9" t="s"/>
      <c r="B326" s="10" t="s"/>
      <c r="C326" s="14" t="s">
        <v>138</v>
      </c>
      <c r="D326" s="9">
        <v>500</v>
      </c>
      <c r="E326" s="11">
        <v>6.2</v>
      </c>
      <c r="F326" s="31">
        <v>1001004</v>
      </c>
      <c r="G326" s="39" t="s">
        <v>194</v>
      </c>
    </row>
    <row r="327" spans="1:7" ht="13.9">
      <c r="A327" s="9" t="s"/>
      <c r="B327" s="10" t="s"/>
      <c r="C327" s="14" t="s">
        <v>173</v>
      </c>
      <c r="D327" s="9">
        <v>500</v>
      </c>
      <c r="E327" s="11">
        <v>0.3</v>
      </c>
      <c r="F327" s="31">
        <v>1006003</v>
      </c>
      <c r="G327" s="39" t="s">
        <v>194</v>
      </c>
    </row>
    <row r="328" spans="1:7" ht="13.9">
      <c r="A328" s="9" t="s"/>
      <c r="B328" s="10" t="s"/>
      <c r="C328" s="14" t="s">
        <v>174</v>
      </c>
      <c r="D328" s="9">
        <v>500</v>
      </c>
      <c r="E328" s="11">
        <v>0.42</v>
      </c>
      <c r="F328" s="31">
        <v>1006010</v>
      </c>
      <c r="G328" s="39" t="s">
        <v>194</v>
      </c>
    </row>
    <row r="329" spans="1:7" ht="13.9">
      <c r="A329" s="9" t="s"/>
      <c r="B329" s="10" t="s"/>
      <c r="C329" s="14" t="s">
        <v>103</v>
      </c>
      <c r="D329" s="9">
        <v>820</v>
      </c>
      <c r="E329" s="11">
        <f>=6.31*2</f>
        <v>12.62</v>
      </c>
      <c r="F329" s="31">
        <v>1006014</v>
      </c>
      <c r="G329" s="39" t="s">
        <v>194</v>
      </c>
    </row>
    <row r="330" spans="1:7">
      <c r="A330" s="9" t="s"/>
      <c r="B330" s="10" t="s"/>
      <c r="C330" s="20" t="s">
        <v>16</v>
      </c>
      <c r="D330" s="9">
        <v>500</v>
      </c>
      <c r="E330" s="11">
        <v>1</v>
      </c>
      <c r="F330" s="31">
        <v>1006009</v>
      </c>
      <c r="G330" s="39" t="s">
        <v>194</v>
      </c>
    </row>
    <row r="331" spans="1:7" ht="13.9">
      <c r="A331" s="9" t="s"/>
      <c r="B331" s="10" t="s"/>
      <c r="C331" s="14" t="s">
        <v>34</v>
      </c>
      <c r="D331" s="9">
        <v>500</v>
      </c>
      <c r="E331" s="11">
        <v>2</v>
      </c>
      <c r="F331" s="31">
        <v>1001010</v>
      </c>
      <c r="G331" s="39" t="s">
        <v>194</v>
      </c>
    </row>
    <row r="332" spans="1:7">
      <c r="A332" s="9" t="s"/>
      <c r="B332" s="10" t="s"/>
      <c r="C332" s="9" t="s">
        <v>15</v>
      </c>
      <c r="D332" s="9">
        <v>400</v>
      </c>
      <c r="E332" s="11">
        <v>12.6</v>
      </c>
      <c r="F332" s="31">
        <v>1006022</v>
      </c>
      <c r="G332" s="39" t="s">
        <v>194</v>
      </c>
    </row>
    <row r="333" spans="1:7">
      <c r="A333" s="9" t="s"/>
      <c r="B333" s="10" t="s"/>
      <c r="C333" s="9" t="s">
        <v>49</v>
      </c>
      <c r="D333" s="9">
        <v>1000</v>
      </c>
      <c r="E333" s="11">
        <v>2</v>
      </c>
      <c r="F333" s="31">
        <v>1006028</v>
      </c>
      <c r="G333" s="39" t="s">
        <v>194</v>
      </c>
    </row>
    <row r="334" spans="1:7">
      <c r="A334" s="9" t="s"/>
      <c r="B334" s="10" t="s"/>
      <c r="C334" s="9" t="s">
        <v>178</v>
      </c>
      <c r="D334" s="9">
        <v>1000</v>
      </c>
      <c r="E334" s="11">
        <v>100</v>
      </c>
      <c r="F334" s="31">
        <v>1006090</v>
      </c>
      <c r="G334" s="39" t="s">
        <v>194</v>
      </c>
    </row>
    <row r="335" spans="1:7">
      <c r="A335" s="9">
        <v>40</v>
      </c>
      <c r="B335" s="19" t="s">
        <v>179</v>
      </c>
      <c r="C335" s="20" t="s">
        <v>180</v>
      </c>
      <c r="D335" s="20">
        <v>500</v>
      </c>
      <c r="E335" s="20">
        <v>225</v>
      </c>
      <c r="F335" s="31">
        <v>1001110</v>
      </c>
      <c r="G335" s="39" t="s">
        <v>194</v>
      </c>
    </row>
    <row r="336" spans="1:7">
      <c r="A336" s="9" t="s"/>
      <c r="B336" s="21" t="s"/>
      <c r="C336" s="20" t="s">
        <v>107</v>
      </c>
      <c r="D336" s="20">
        <v>500</v>
      </c>
      <c r="E336" s="20">
        <v>5.5</v>
      </c>
      <c r="F336" s="31">
        <v>1001001</v>
      </c>
      <c r="G336" s="39" t="s">
        <v>194</v>
      </c>
    </row>
    <row r="337" spans="1:7">
      <c r="A337" s="9" t="s"/>
      <c r="B337" s="21" t="s"/>
      <c r="C337" s="12" t="s">
        <v>12</v>
      </c>
      <c r="D337" s="20">
        <v>10000</v>
      </c>
      <c r="E337" s="20">
        <v>30</v>
      </c>
      <c r="F337" s="31">
        <v>1005004</v>
      </c>
      <c r="G337" s="39" t="s">
        <v>194</v>
      </c>
    </row>
    <row r="338" spans="1:7">
      <c r="A338" s="9" t="s"/>
      <c r="B338" s="21" t="s"/>
      <c r="C338" s="20" t="s">
        <v>15</v>
      </c>
      <c r="D338" s="20">
        <v>400</v>
      </c>
      <c r="E338" s="20">
        <v>1</v>
      </c>
      <c r="F338" s="31">
        <v>1006022</v>
      </c>
      <c r="G338" s="39" t="s">
        <v>194</v>
      </c>
    </row>
    <row r="339" spans="1:7">
      <c r="A339" s="9" t="s"/>
      <c r="B339" s="21" t="s"/>
      <c r="C339" s="20" t="s">
        <v>49</v>
      </c>
      <c r="D339" s="20">
        <v>1000</v>
      </c>
      <c r="E339" s="20">
        <v>5</v>
      </c>
      <c r="F339" s="31">
        <v>1006028</v>
      </c>
      <c r="G339" s="39" t="s">
        <v>194</v>
      </c>
    </row>
    <row r="340" spans="1:7">
      <c r="A340" s="9" t="s"/>
      <c r="B340" s="21" t="s"/>
      <c r="C340" s="20" t="s">
        <v>18</v>
      </c>
      <c r="D340" s="20">
        <v>2000</v>
      </c>
      <c r="E340" s="20">
        <v>1</v>
      </c>
      <c r="F340" s="31">
        <v>1006033</v>
      </c>
      <c r="G340" s="39" t="s">
        <v>194</v>
      </c>
    </row>
    <row r="341" spans="1:7">
      <c r="A341" s="9" t="s"/>
      <c r="B341" s="22" t="s"/>
      <c r="C341" s="20" t="s">
        <v>67</v>
      </c>
      <c r="D341" s="20">
        <v>500</v>
      </c>
      <c r="E341" s="20">
        <v>0.5</v>
      </c>
      <c r="F341" s="31">
        <v>1006013</v>
      </c>
      <c r="G341" s="39" t="s">
        <v>194</v>
      </c>
    </row>
    <row r="342" spans="1:7">
      <c r="A342" s="8">
        <v>41</v>
      </c>
      <c r="B342" s="27" t="s">
        <v>181</v>
      </c>
      <c r="C342" s="20" t="s">
        <v>182</v>
      </c>
      <c r="D342" s="20">
        <v>500</v>
      </c>
      <c r="E342" s="20">
        <v>350</v>
      </c>
      <c r="F342" s="31">
        <v>1003007</v>
      </c>
      <c r="G342" s="39" t="s">
        <v>194</v>
      </c>
    </row>
    <row r="343" spans="1:7">
      <c r="A343" s="8" t="s"/>
      <c r="B343" s="28" t="s"/>
      <c r="C343" s="20" t="s">
        <v>36</v>
      </c>
      <c r="D343" s="20">
        <v>500</v>
      </c>
      <c r="E343" s="20">
        <v>33</v>
      </c>
      <c r="F343" s="31">
        <v>1001009</v>
      </c>
      <c r="G343" s="39" t="s">
        <v>194</v>
      </c>
    </row>
    <row r="344" spans="1:7">
      <c r="A344" s="8" t="s"/>
      <c r="B344" s="28" t="s"/>
      <c r="C344" s="20" t="s">
        <v>49</v>
      </c>
      <c r="D344" s="20">
        <v>1000</v>
      </c>
      <c r="E344" s="20">
        <v>12</v>
      </c>
      <c r="F344" s="31">
        <v>1006028</v>
      </c>
      <c r="G344" s="39" t="s">
        <v>194</v>
      </c>
    </row>
    <row r="345" spans="1:7">
      <c r="A345" s="8" t="s"/>
      <c r="B345" s="28" t="s"/>
      <c r="C345" s="20" t="s">
        <v>17</v>
      </c>
      <c r="D345" s="20">
        <v>500</v>
      </c>
      <c r="E345" s="20">
        <v>120</v>
      </c>
      <c r="F345" s="31">
        <v>1001002</v>
      </c>
      <c r="G345" s="39" t="s">
        <v>194</v>
      </c>
    </row>
    <row r="346" spans="1:7">
      <c r="A346" s="8" t="s"/>
      <c r="B346" s="28" t="s"/>
      <c r="C346" s="20" t="s">
        <v>138</v>
      </c>
      <c r="D346" s="20">
        <v>500</v>
      </c>
      <c r="E346" s="20">
        <v>71</v>
      </c>
      <c r="F346" s="31">
        <v>1001004</v>
      </c>
      <c r="G346" s="39" t="s">
        <v>194</v>
      </c>
    </row>
    <row r="347" spans="1:7">
      <c r="A347" s="8" t="s"/>
      <c r="B347" s="28" t="s"/>
      <c r="C347" s="13" t="s">
        <v>23</v>
      </c>
      <c r="D347" s="20">
        <v>500</v>
      </c>
      <c r="E347" s="20">
        <v>84</v>
      </c>
      <c r="F347" s="31">
        <v>1001005</v>
      </c>
      <c r="G347" s="39" t="s">
        <v>194</v>
      </c>
    </row>
    <row r="348" spans="1:7">
      <c r="A348" s="8" t="s"/>
      <c r="B348" s="28" t="s"/>
      <c r="C348" s="20" t="s">
        <v>16</v>
      </c>
      <c r="D348" s="20">
        <v>500</v>
      </c>
      <c r="E348" s="20">
        <v>17</v>
      </c>
      <c r="F348" s="31">
        <v>1006009</v>
      </c>
      <c r="G348" s="39" t="s">
        <v>194</v>
      </c>
    </row>
    <row r="349" spans="1:7">
      <c r="A349" s="8" t="s"/>
      <c r="B349" s="28" t="s"/>
      <c r="C349" s="20" t="s">
        <v>15</v>
      </c>
      <c r="D349" s="20">
        <v>400</v>
      </c>
      <c r="E349" s="20">
        <v>20</v>
      </c>
      <c r="F349" s="31">
        <v>1006022</v>
      </c>
      <c r="G349" s="39" t="s">
        <v>194</v>
      </c>
    </row>
    <row r="350" spans="1:7">
      <c r="A350" s="8" t="s"/>
      <c r="B350" s="28" t="s"/>
      <c r="C350" s="20" t="s">
        <v>68</v>
      </c>
      <c r="D350" s="20">
        <v>1000</v>
      </c>
      <c r="E350" s="20">
        <v>2</v>
      </c>
      <c r="F350" s="31">
        <v>1006080</v>
      </c>
      <c r="G350" s="39" t="s">
        <v>194</v>
      </c>
    </row>
    <row r="351" spans="1:7">
      <c r="A351" s="8" t="s"/>
      <c r="B351" s="28" t="s"/>
      <c r="C351" s="20" t="s">
        <v>183</v>
      </c>
      <c r="D351" s="20">
        <v>500</v>
      </c>
      <c r="E351" s="20">
        <v>5</v>
      </c>
      <c r="F351" s="31">
        <v>1006008</v>
      </c>
      <c r="G351" s="39" t="s">
        <v>194</v>
      </c>
    </row>
    <row r="352" spans="1:7">
      <c r="A352" s="8" t="s"/>
      <c r="B352" s="28" t="s"/>
      <c r="C352" s="12" t="s">
        <v>12</v>
      </c>
      <c r="D352" s="20">
        <v>10000</v>
      </c>
      <c r="E352" s="20">
        <v>150</v>
      </c>
      <c r="F352" s="31">
        <v>1005004</v>
      </c>
      <c r="G352" s="39" t="s">
        <v>194</v>
      </c>
    </row>
    <row r="353" spans="1:7">
      <c r="A353" s="8" t="s"/>
      <c r="B353" s="29" t="s"/>
      <c r="C353" s="20" t="s">
        <v>108</v>
      </c>
      <c r="D353" s="20">
        <v>500</v>
      </c>
      <c r="E353" s="20">
        <v>5</v>
      </c>
      <c r="F353" s="31">
        <v>1006056</v>
      </c>
      <c r="G353" s="39" t="s">
        <v>194</v>
      </c>
    </row>
    <row r="354" spans="2:7">
      <c r="B354" s="27" t="s">
        <v>184</v>
      </c>
      <c r="C354" s="20" t="s">
        <v>81</v>
      </c>
      <c r="D354" s="20">
        <v>720</v>
      </c>
      <c r="E354" s="20">
        <v>60</v>
      </c>
      <c r="F354" s="31">
        <v>1008014</v>
      </c>
      <c r="G354" s="39" t="s">
        <v>198</v>
      </c>
    </row>
    <row r="355" spans="2:7" ht="15.75">
      <c r="B355" s="9" t="s">
        <v>186</v>
      </c>
      <c r="C355" s="30" t="s">
        <v>187</v>
      </c>
      <c r="D355" s="20">
        <v>720</v>
      </c>
      <c r="E355" s="20">
        <v>60</v>
      </c>
      <c r="F355" s="31">
        <v>1008015</v>
      </c>
      <c r="G355" s="39" t="s">
        <v>198</v>
      </c>
    </row>
    <row r="356" spans="2:7">
      <c r="B356" s="27" t="s">
        <v>188</v>
      </c>
      <c r="C356" s="13" t="s">
        <v>52</v>
      </c>
      <c r="D356" s="20">
        <v>320</v>
      </c>
      <c r="E356" s="20">
        <v>30</v>
      </c>
      <c r="F356" s="31">
        <v>1002002</v>
      </c>
      <c r="G356" s="39" t="s">
        <v>194</v>
      </c>
    </row>
    <row r="357" spans="2:7">
      <c r="B357" s="20" t="s">
        <v>189</v>
      </c>
      <c r="C357" s="20" t="s">
        <v>189</v>
      </c>
      <c r="D357" s="20" t="s"/>
      <c r="E357" s="20">
        <v>1</v>
      </c>
      <c r="F357" s="31">
        <v>1009031</v>
      </c>
      <c r="G357" s="39" t="s">
        <v>200</v>
      </c>
    </row>
    <row r="358" spans="2:7">
      <c r="B358" s="27" t="s">
        <v>190</v>
      </c>
      <c r="C358" s="20" t="s">
        <v>141</v>
      </c>
      <c r="D358" s="20">
        <v>280</v>
      </c>
      <c r="E358" s="20">
        <v>13</v>
      </c>
      <c r="F358" s="31">
        <v>1006034</v>
      </c>
      <c r="G358" s="39" t="s">
        <v>194</v>
      </c>
    </row>
    <row r="359" spans="2:7">
      <c r="B359" s="28" t="s"/>
      <c r="C359" s="20" t="s">
        <v>135</v>
      </c>
      <c r="D359" s="20">
        <v>2500</v>
      </c>
      <c r="E359" s="20">
        <v>103</v>
      </c>
      <c r="F359" s="31">
        <v>1006068</v>
      </c>
      <c r="G359" s="39" t="s">
        <v>194</v>
      </c>
    </row>
    <row r="360" spans="2:7">
      <c r="B360" s="28" t="s"/>
      <c r="C360" s="20" t="s">
        <v>10</v>
      </c>
      <c r="D360" s="20">
        <v>500</v>
      </c>
      <c r="E360" s="20">
        <v>165</v>
      </c>
      <c r="F360" s="31">
        <v>1001072</v>
      </c>
      <c r="G360" s="39" t="s">
        <v>194</v>
      </c>
    </row>
    <row r="361" spans="2:7">
      <c r="B361" s="28" t="s"/>
      <c r="C361" s="12" t="s">
        <v>12</v>
      </c>
      <c r="D361" s="20">
        <v>10000</v>
      </c>
      <c r="E361" s="20">
        <v>18</v>
      </c>
      <c r="F361" s="31">
        <v>1005004</v>
      </c>
      <c r="G361" s="39" t="s">
        <v>194</v>
      </c>
    </row>
    <row r="362" spans="2:7">
      <c r="B362" s="28" t="s"/>
      <c r="C362" s="20" t="s">
        <v>23</v>
      </c>
      <c r="D362" s="20">
        <v>500</v>
      </c>
      <c r="E362" s="20">
        <v>20</v>
      </c>
      <c r="F362" s="31">
        <v>1001005</v>
      </c>
      <c r="G362" s="39" t="s">
        <v>194</v>
      </c>
    </row>
    <row r="363" spans="2:7">
      <c r="B363" s="28" t="s"/>
      <c r="C363" s="20" t="s">
        <v>191</v>
      </c>
      <c r="D363" s="20">
        <v>500</v>
      </c>
      <c r="E363" s="20">
        <v>30</v>
      </c>
      <c r="F363" s="31">
        <v>1003005</v>
      </c>
      <c r="G363" s="39" t="s">
        <v>194</v>
      </c>
    </row>
    <row r="364" spans="2:7">
      <c r="B364" s="28" t="s"/>
      <c r="C364" s="20" t="s">
        <v>106</v>
      </c>
      <c r="D364" s="20">
        <v>500</v>
      </c>
      <c r="E364" s="20">
        <v>71</v>
      </c>
      <c r="F364" s="31">
        <v>1001101</v>
      </c>
      <c r="G364" s="39" t="s">
        <v>194</v>
      </c>
    </row>
    <row r="365" spans="2:7">
      <c r="B365" s="28" t="s"/>
      <c r="C365" s="20" t="s">
        <v>15</v>
      </c>
      <c r="D365" s="20">
        <v>400</v>
      </c>
      <c r="E365" s="20">
        <v>1.2</v>
      </c>
      <c r="F365" s="31">
        <v>1006022</v>
      </c>
      <c r="G365" s="39" t="s">
        <v>194</v>
      </c>
    </row>
    <row r="366" spans="2:7">
      <c r="B366" s="28" t="s"/>
      <c r="C366" s="20" t="s">
        <v>18</v>
      </c>
      <c r="D366" s="20">
        <v>2000</v>
      </c>
      <c r="E366" s="20">
        <v>0.6</v>
      </c>
      <c r="F366" s="31">
        <v>1006033</v>
      </c>
      <c r="G366" s="39" t="s">
        <v>194</v>
      </c>
    </row>
    <row r="367" spans="2:7">
      <c r="B367" s="28" t="s"/>
      <c r="C367" s="20" t="s">
        <v>109</v>
      </c>
      <c r="D367" s="20">
        <v>400</v>
      </c>
      <c r="E367" s="20">
        <v>1.2</v>
      </c>
      <c r="F367" s="31">
        <v>1006087</v>
      </c>
      <c r="G367" s="39" t="s">
        <v>194</v>
      </c>
    </row>
    <row r="368" spans="2:7">
      <c r="B368" s="28" t="s"/>
      <c r="C368" s="20" t="s">
        <v>49</v>
      </c>
      <c r="D368" s="20">
        <v>1000</v>
      </c>
      <c r="E368" s="20">
        <v>1.2</v>
      </c>
      <c r="F368" s="31">
        <v>1006028</v>
      </c>
      <c r="G368" s="39" t="s">
        <v>194</v>
      </c>
    </row>
    <row r="369" spans="2:7">
      <c r="B369" s="29" t="s"/>
      <c r="C369" s="20" t="s">
        <v>103</v>
      </c>
      <c r="D369" s="20">
        <v>820</v>
      </c>
      <c r="E369" s="20">
        <v>3</v>
      </c>
      <c r="F369" s="31">
        <v>1006014</v>
      </c>
      <c r="G369" s="39" t="s">
        <v>194</v>
      </c>
    </row>
  </sheetData>
  <autoFilter ref="A1:F369">
    <extLst/>
  </autoFilter>
  <mergeCells count="71">
    <mergeCell ref="A2:A14"/>
    <mergeCell ref="A15:A25"/>
    <mergeCell ref="A26:A34"/>
    <mergeCell ref="A35:A47"/>
    <mergeCell ref="A48:A60"/>
    <mergeCell ref="A61:A72"/>
    <mergeCell ref="A74:A88"/>
    <mergeCell ref="A89:A101"/>
    <mergeCell ref="A108:A114"/>
    <mergeCell ref="A115:A119"/>
    <mergeCell ref="A120:A135"/>
    <mergeCell ref="A136:A149"/>
    <mergeCell ref="A150:A158"/>
    <mergeCell ref="A159:A169"/>
    <mergeCell ref="A170:A173"/>
    <mergeCell ref="A174:A191"/>
    <mergeCell ref="A192:A197"/>
    <mergeCell ref="A198:A212"/>
    <mergeCell ref="A213:A222"/>
    <mergeCell ref="A223:A231"/>
    <mergeCell ref="A232:A241"/>
    <mergeCell ref="A242:A246"/>
    <mergeCell ref="A251:A258"/>
    <mergeCell ref="A259:A265"/>
    <mergeCell ref="A266:A272"/>
    <mergeCell ref="A274:A288"/>
    <mergeCell ref="A289:A299"/>
    <mergeCell ref="A300:A316"/>
    <mergeCell ref="A321:A334"/>
    <mergeCell ref="A335:A341"/>
    <mergeCell ref="A342:A353"/>
    <mergeCell ref="B2:B14"/>
    <mergeCell ref="B15:B25"/>
    <mergeCell ref="B26:B34"/>
    <mergeCell ref="B35:B47"/>
    <mergeCell ref="B48:B60"/>
    <mergeCell ref="B61:B72"/>
    <mergeCell ref="B74:B88"/>
    <mergeCell ref="B89:B101"/>
    <mergeCell ref="B108:B114"/>
    <mergeCell ref="B115:B119"/>
    <mergeCell ref="B120:B135"/>
    <mergeCell ref="B136:B149"/>
    <mergeCell ref="B150:B158"/>
    <mergeCell ref="B159:B169"/>
    <mergeCell ref="B170:B173"/>
    <mergeCell ref="B174:B191"/>
    <mergeCell ref="B192:B197"/>
    <mergeCell ref="B198:B212"/>
    <mergeCell ref="B213:B222"/>
    <mergeCell ref="B223:B231"/>
    <mergeCell ref="B232:B241"/>
    <mergeCell ref="B242:B246"/>
    <mergeCell ref="B251:B258"/>
    <mergeCell ref="B259:B265"/>
    <mergeCell ref="B266:B272"/>
    <mergeCell ref="B274:B288"/>
    <mergeCell ref="B289:B299"/>
    <mergeCell ref="B300:B316"/>
    <mergeCell ref="B321:B334"/>
    <mergeCell ref="B335:B341"/>
    <mergeCell ref="B342:B353"/>
    <mergeCell ref="B358:B369"/>
    <mergeCell ref="A102:A104"/>
    <mergeCell ref="B102:B104"/>
    <mergeCell ref="A105:A107"/>
    <mergeCell ref="B105:B107"/>
    <mergeCell ref="A247:A250"/>
    <mergeCell ref="B247:B250"/>
    <mergeCell ref="A317:A320"/>
    <mergeCell ref="B317:B3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2026-06-17T14:55:26Z</dcterms:created>
  <dcterms:modified xsi:type="dcterms:W3CDTF">2026-06-17T14:55:26Z</dcterms:modified>
</cp:coreProperties>
</file>